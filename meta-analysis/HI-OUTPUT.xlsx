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esami\Box\Maral-Program-Associate\2025\HI paper\meta-analysis\"/>
    </mc:Choice>
  </mc:AlternateContent>
  <xr:revisionPtr revIDLastSave="0" documentId="13_ncr:1_{41A773ED-7EE6-4D61-9386-24DB4894DCA0}" xr6:coauthVersionLast="47" xr6:coauthVersionMax="47" xr10:uidLastSave="{00000000-0000-0000-0000-000000000000}"/>
  <bookViews>
    <workbookView xWindow="-120" yWindow="-120" windowWidth="29040" windowHeight="15720" xr2:uid="{D52191FF-E5EB-4BFF-BB1A-8F60D515A8F0}"/>
  </bookViews>
  <sheets>
    <sheet name="Sheet1" sheetId="1" r:id="rId1"/>
    <sheet name="SAREC" sheetId="2" r:id="rId2"/>
    <sheet name="Pinetree &amp; Rohwer" sheetId="4" r:id="rId3"/>
    <sheet name="SAREC results" sheetId="3" r:id="rId4"/>
    <sheet name="SAREC results2" sheetId="5" r:id="rId5"/>
    <sheet name="Pintree&amp;Rohwer resul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2" l="1"/>
  <c r="O75" i="2"/>
  <c r="N75" i="2"/>
  <c r="N38" i="2"/>
  <c r="F75" i="2"/>
  <c r="E75" i="2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</calcChain>
</file>

<file path=xl/sharedStrings.xml><?xml version="1.0" encoding="utf-8"?>
<sst xmlns="http://schemas.openxmlformats.org/spreadsheetml/2006/main" count="2058" uniqueCount="102">
  <si>
    <t>P42A84E</t>
  </si>
  <si>
    <t>Rainfed</t>
  </si>
  <si>
    <t>sarec</t>
  </si>
  <si>
    <t>P48A14E</t>
  </si>
  <si>
    <t>P52A14SE</t>
  </si>
  <si>
    <t>R19C-1012</t>
  </si>
  <si>
    <t>R18-14502</t>
  </si>
  <si>
    <t>R18C-13665</t>
  </si>
  <si>
    <t>R19-46252</t>
  </si>
  <si>
    <t>R19-45980</t>
  </si>
  <si>
    <t>PI471938</t>
  </si>
  <si>
    <t>PI548431</t>
  </si>
  <si>
    <t>PI603457A</t>
  </si>
  <si>
    <t>PI507408</t>
  </si>
  <si>
    <t>Irrigated</t>
  </si>
  <si>
    <t>Harvest</t>
  </si>
  <si>
    <t>Genotype</t>
  </si>
  <si>
    <t>Treatment</t>
  </si>
  <si>
    <t>Rep</t>
  </si>
  <si>
    <t>Plot</t>
  </si>
  <si>
    <t>DOY</t>
  </si>
  <si>
    <t>Location</t>
  </si>
  <si>
    <t>Population</t>
  </si>
  <si>
    <t>Biomass5pl</t>
  </si>
  <si>
    <t>Biomass</t>
  </si>
  <si>
    <t>biomasstotal</t>
  </si>
  <si>
    <t>RowSpace</t>
  </si>
  <si>
    <t>TotalSampleArea</t>
  </si>
  <si>
    <t>TotalBiomass</t>
  </si>
  <si>
    <t>GreenBiomass</t>
  </si>
  <si>
    <t>YellowBiomass</t>
  </si>
  <si>
    <t>StemBiomass</t>
  </si>
  <si>
    <t>RepBiomass</t>
  </si>
  <si>
    <t>HI5pl</t>
  </si>
  <si>
    <t>Seed5pBiomass</t>
  </si>
  <si>
    <t>HITotalBiomass</t>
  </si>
  <si>
    <t>SeedTotalBiomass</t>
  </si>
  <si>
    <t>Yield_kgha</t>
  </si>
  <si>
    <t>AvgHeight</t>
  </si>
  <si>
    <t>AvgNode</t>
  </si>
  <si>
    <t>Yield _buac</t>
  </si>
  <si>
    <t>.</t>
  </si>
  <si>
    <t>HI (FINAL)</t>
  </si>
  <si>
    <t>Source</t>
  </si>
  <si>
    <t>r</t>
  </si>
  <si>
    <t>t</t>
  </si>
  <si>
    <t>r*t</t>
  </si>
  <si>
    <t>v</t>
  </si>
  <si>
    <t>v*t</t>
  </si>
  <si>
    <t>HIP</t>
  </si>
  <si>
    <t>HIF</t>
  </si>
  <si>
    <t>cv</t>
  </si>
  <si>
    <t>Mean</t>
  </si>
  <si>
    <t>LSD</t>
  </si>
  <si>
    <t>&lt;.0001</t>
  </si>
  <si>
    <t>Level of</t>
  </si>
  <si>
    <t>N</t>
  </si>
  <si>
    <t>Std Dev</t>
  </si>
  <si>
    <t>Irrigate</t>
  </si>
  <si>
    <t>PI603457</t>
  </si>
  <si>
    <t>R18-1450</t>
  </si>
  <si>
    <t>R19C-101</t>
  </si>
  <si>
    <t>R18C-136</t>
  </si>
  <si>
    <t>R19-4598</t>
  </si>
  <si>
    <t>R19-4625</t>
  </si>
  <si>
    <t>pinetree</t>
  </si>
  <si>
    <t>Date</t>
  </si>
  <si>
    <t xml:space="preserve">linear </t>
  </si>
  <si>
    <t>HI</t>
  </si>
  <si>
    <t>rohwer</t>
  </si>
  <si>
    <r>
      <t xml:space="preserve">SAREC </t>
    </r>
    <r>
      <rPr>
        <b/>
        <sz val="16"/>
        <color theme="1"/>
        <rFont val="Aptos Narrow"/>
        <family val="2"/>
        <scheme val="minor"/>
      </rPr>
      <t>RESULTS</t>
    </r>
  </si>
  <si>
    <t>irrigation</t>
  </si>
  <si>
    <t>variety</t>
  </si>
  <si>
    <t>V</t>
  </si>
  <si>
    <t>V*t</t>
  </si>
  <si>
    <t>doy</t>
  </si>
  <si>
    <t>tbiomass</t>
  </si>
  <si>
    <t>yield</t>
  </si>
  <si>
    <t>TBiomass</t>
  </si>
  <si>
    <t>Yield</t>
  </si>
  <si>
    <t>HIFINAL</t>
  </si>
  <si>
    <t>HI5p</t>
  </si>
  <si>
    <t>Seed5p</t>
  </si>
  <si>
    <t>Height</t>
  </si>
  <si>
    <t>HITotal</t>
  </si>
  <si>
    <t>Node</t>
  </si>
  <si>
    <t>CV</t>
  </si>
  <si>
    <t>MEAN</t>
  </si>
  <si>
    <t>Pearson Correlation Coefficients</t>
  </si>
  <si>
    <t>Prob &gt; |r| under H0: Rho=0</t>
  </si>
  <si>
    <t>Number of Observations</t>
  </si>
  <si>
    <t>biomass</t>
  </si>
  <si>
    <t>FINAL HARVEST</t>
  </si>
  <si>
    <t>R</t>
  </si>
  <si>
    <t>YIELD</t>
  </si>
  <si>
    <t>BIO</t>
  </si>
  <si>
    <t>The GLM Procedure</t>
  </si>
  <si>
    <t>Pearson Correlation Coefficients, N = 24</t>
  </si>
  <si>
    <t>Pearson Correlation Coefficients, N = 20</t>
  </si>
  <si>
    <t>RAINFED</t>
  </si>
  <si>
    <t>row data</t>
  </si>
  <si>
    <t>sorted data based on treatmentas and 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</si>
</sst>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rgb="FF000000"/>
      <name val="MS PGothic"/>
      <family val="2"/>
    </font>
    <font>
      <b/>
      <sz val="11"/>
      <color rgb="FF000000"/>
      <name val="MS PGothic"/>
      <family val="2"/>
    </font>
    <font>
      <sz val="11"/>
      <color rgb="FF000000"/>
      <name val="MS PGothic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1C1C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C1C1C1"/>
      </top>
      <bottom/>
      <diagonal/>
    </border>
    <border>
      <left/>
      <right style="medium">
        <color indexed="64"/>
      </right>
      <top style="medium">
        <color rgb="FFC1C1C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2" fontId="2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0" xfId="0" applyFont="1"/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/>
    </xf>
    <xf numFmtId="0" fontId="3" fillId="6" borderId="0" xfId="0" applyFont="1" applyFill="1" applyAlignment="1">
      <alignment vertical="top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164" fontId="7" fillId="0" borderId="0" xfId="0" applyNumberFormat="1" applyFont="1" applyAlignment="1">
      <alignment horizontal="center" vertical="top" wrapText="1"/>
    </xf>
    <xf numFmtId="164" fontId="7" fillId="0" borderId="9" xfId="0" applyNumberFormat="1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164" fontId="7" fillId="0" borderId="11" xfId="0" applyNumberFormat="1" applyFont="1" applyBorder="1" applyAlignment="1">
      <alignment horizontal="center" vertical="top" wrapText="1"/>
    </xf>
    <xf numFmtId="164" fontId="7" fillId="0" borderId="12" xfId="0" applyNumberFormat="1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7" borderId="0" xfId="0" applyNumberFormat="1" applyFont="1" applyFill="1"/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1" fillId="7" borderId="0" xfId="0" applyNumberFormat="1" applyFont="1" applyFill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0" fontId="9" fillId="2" borderId="0" xfId="0" applyFont="1" applyFill="1"/>
    <xf numFmtId="0" fontId="6" fillId="0" borderId="3" xfId="0" applyFont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top" wrapText="1"/>
    </xf>
    <xf numFmtId="164" fontId="6" fillId="0" borderId="9" xfId="0" applyNumberFormat="1" applyFont="1" applyBorder="1" applyAlignment="1">
      <alignment horizontal="center" vertical="top" wrapText="1"/>
    </xf>
    <xf numFmtId="164" fontId="2" fillId="0" borderId="0" xfId="0" applyNumberFormat="1" applyFont="1"/>
    <xf numFmtId="164" fontId="2" fillId="0" borderId="9" xfId="0" applyNumberFormat="1" applyFont="1" applyBorder="1"/>
    <xf numFmtId="164" fontId="2" fillId="0" borderId="0" xfId="0" applyNumberFormat="1" applyFont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top" wrapText="1"/>
    </xf>
    <xf numFmtId="164" fontId="6" fillId="0" borderId="8" xfId="0" applyNumberFormat="1" applyFont="1" applyBorder="1" applyAlignment="1">
      <alignment horizontal="center" vertical="top" wrapText="1"/>
    </xf>
    <xf numFmtId="164" fontId="6" fillId="0" borderId="10" xfId="0" applyNumberFormat="1" applyFont="1" applyBorder="1" applyAlignment="1">
      <alignment horizontal="center" vertical="top" wrapText="1"/>
    </xf>
    <xf numFmtId="164" fontId="6" fillId="0" borderId="11" xfId="0" applyNumberFormat="1" applyFont="1" applyBorder="1" applyAlignment="1">
      <alignment horizontal="center" vertical="top" wrapText="1"/>
    </xf>
    <xf numFmtId="164" fontId="2" fillId="0" borderId="11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/>
    </xf>
    <xf numFmtId="0" fontId="13" fillId="0" borderId="9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/>
    </xf>
    <xf numFmtId="0" fontId="13" fillId="0" borderId="11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/>
    </xf>
    <xf numFmtId="0" fontId="1" fillId="2" borderId="0" xfId="0" applyFont="1" applyFill="1"/>
    <xf numFmtId="0" fontId="14" fillId="0" borderId="5" xfId="0" applyFont="1" applyBorder="1"/>
    <xf numFmtId="0" fontId="14" fillId="0" borderId="6" xfId="0" applyFont="1" applyBorder="1"/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4" fontId="1" fillId="0" borderId="9" xfId="0" applyNumberFormat="1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0" fillId="0" borderId="9" xfId="0" applyBorder="1"/>
    <xf numFmtId="0" fontId="2" fillId="0" borderId="0" xfId="0" applyFont="1"/>
    <xf numFmtId="0" fontId="0" fillId="8" borderId="0" xfId="0" applyFill="1"/>
    <xf numFmtId="0" fontId="0" fillId="8" borderId="6" xfId="0" applyFill="1" applyBorder="1"/>
    <xf numFmtId="0" fontId="3" fillId="8" borderId="0" xfId="0" applyFont="1" applyFill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9" xfId="0" applyFont="1" applyBorder="1"/>
    <xf numFmtId="14" fontId="2" fillId="0" borderId="16" xfId="0" applyNumberFormat="1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center" vertical="center" wrapText="1"/>
    </xf>
    <xf numFmtId="0" fontId="12" fillId="0" borderId="7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2" fillId="0" borderId="1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164726</xdr:colOff>
      <xdr:row>11</xdr:row>
      <xdr:rowOff>17009</xdr:rowOff>
    </xdr:from>
    <xdr:to>
      <xdr:col>4</xdr:col>
      <xdr:colOff>856129</xdr:colOff>
      <xdr:row>26</xdr:row>
      <xdr:rowOff>155341</xdr:rowOff>
    </xdr:to>
    <xdr:pic>
      <xdr:nvPicPr>
        <xdr:cNvPr id="2" name="Picture 1" descr="Distribution of HIP by t">
          <a:extLst>
            <a:ext uri="{FF2B5EF4-FFF2-40B4-BE49-F238E27FC236}">
              <a16:creationId xmlns:a16="http://schemas.microsoft.com/office/drawing/2014/main" id="{E9A9D6ED-6D83-361C-0BC2-6430FA4E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047" y="2236674"/>
          <a:ext cx="3957118" cy="2944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351306</xdr:colOff>
      <xdr:row>11</xdr:row>
      <xdr:rowOff>67796</xdr:rowOff>
    </xdr:from>
    <xdr:to>
      <xdr:col>9</xdr:col>
      <xdr:colOff>1256180</xdr:colOff>
      <xdr:row>26</xdr:row>
      <xdr:rowOff>127257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DBF7FB-DA0D-947D-E3F3-EB335E5EF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7813" y="2365002"/>
          <a:ext cx="3650316" cy="3001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107014</xdr:colOff>
      <xdr:row>10</xdr:row>
      <xdr:rowOff>183217</xdr:rowOff>
    </xdr:from>
    <xdr:to>
      <xdr:col>14</xdr:col>
      <xdr:colOff>224116</xdr:colOff>
      <xdr:row>27</xdr:row>
      <xdr:rowOff>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9B0435-936C-9041-724E-B226C235C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7749" y="2284320"/>
          <a:ext cx="4207249" cy="3151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81803</xdr:colOff>
      <xdr:row>26</xdr:row>
      <xdr:rowOff>169769</xdr:rowOff>
    </xdr:from>
    <xdr:to>
      <xdr:col>5</xdr:col>
      <xdr:colOff>1263</xdr:colOff>
      <xdr:row>45</xdr:row>
      <xdr:rowOff>9385</xdr:rowOff>
    </xdr:to>
    <xdr:pic>
      <xdr:nvPicPr>
        <xdr:cNvPr id="5" name="Picture 4" descr="Distribution of HIF by t">
          <a:extLst>
            <a:ext uri="{FF2B5EF4-FFF2-40B4-BE49-F238E27FC236}">
              <a16:creationId xmlns:a16="http://schemas.microsoft.com/office/drawing/2014/main" id="{19EDD7C7-1323-3E1E-DFCA-164297F40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27" y="5408519"/>
          <a:ext cx="4076141" cy="3565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163607</xdr:colOff>
      <xdr:row>27</xdr:row>
      <xdr:rowOff>22411</xdr:rowOff>
    </xdr:from>
    <xdr:to>
      <xdr:col>9</xdr:col>
      <xdr:colOff>1154206</xdr:colOff>
      <xdr:row>44</xdr:row>
      <xdr:rowOff>28015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EB991F-2DFC-E254-FD97-67C5F59B8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0114" y="5457264"/>
          <a:ext cx="3736041" cy="3339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42022</xdr:colOff>
      <xdr:row>27</xdr:row>
      <xdr:rowOff>70037</xdr:rowOff>
    </xdr:from>
    <xdr:to>
      <xdr:col>14</xdr:col>
      <xdr:colOff>158562</xdr:colOff>
      <xdr:row>48</xdr:row>
      <xdr:rowOff>108137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7855D6-91E3-CDB4-41F5-64E90FB78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2757" y="5504890"/>
          <a:ext cx="4206687" cy="415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156236</xdr:colOff>
      <xdr:row>20</xdr:row>
      <xdr:rowOff>48847</xdr:rowOff>
    </xdr:from>
    <xdr:to>
      <xdr:col>25</xdr:col>
      <xdr:colOff>310316</xdr:colOff>
      <xdr:row>44</xdr:row>
      <xdr:rowOff>48847</xdr:rowOff>
    </xdr:to>
    <xdr:pic>
      <xdr:nvPicPr>
        <xdr:cNvPr id="8" name="Picture 7" descr="Distribution of HIF by v">
          <a:extLst>
            <a:ext uri="{FF2B5EF4-FFF2-40B4-BE49-F238E27FC236}">
              <a16:creationId xmlns:a16="http://schemas.microsoft.com/office/drawing/2014/main" id="{57B4AC58-B368-3475-3E42-4C5D93F96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3159" y="4090866"/>
          <a:ext cx="6259849" cy="4689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233456</xdr:colOff>
      <xdr:row>0</xdr:row>
      <xdr:rowOff>108466</xdr:rowOff>
    </xdr:from>
    <xdr:to>
      <xdr:col>25</xdr:col>
      <xdr:colOff>233455</xdr:colOff>
      <xdr:row>20</xdr:row>
      <xdr:rowOff>44175</xdr:rowOff>
    </xdr:to>
    <xdr:pic>
      <xdr:nvPicPr>
        <xdr:cNvPr id="9" name="Picture 8" descr="Distribution of HIP by v">
          <a:extLst>
            <a:ext uri="{FF2B5EF4-FFF2-40B4-BE49-F238E27FC236}">
              <a16:creationId xmlns:a16="http://schemas.microsoft.com/office/drawing/2014/main" id="{081D162A-FFB7-5E6D-B729-A2E3E2D0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0379" y="108466"/>
          <a:ext cx="6105768" cy="3977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523875</xdr:colOff>
      <xdr:row>16</xdr:row>
      <xdr:rowOff>63501</xdr:rowOff>
    </xdr:from>
    <xdr:to>
      <xdr:col>14</xdr:col>
      <xdr:colOff>589492</xdr:colOff>
      <xdr:row>32</xdr:row>
      <xdr:rowOff>28576</xdr:rowOff>
    </xdr:to>
    <xdr:pic>
      <xdr:nvPicPr>
        <xdr:cNvPr id="3" name="Picture 2" descr="Distribution of YIELD by V">
          <a:extLst>
            <a:ext uri="{FF2B5EF4-FFF2-40B4-BE49-F238E27FC236}">
              <a16:creationId xmlns:a16="http://schemas.microsoft.com/office/drawing/2014/main" id="{44EFA90E-6DDB-F3F9-22F5-D25521BDD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9875" y="3175001"/>
          <a:ext cx="3907367" cy="3076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317500</xdr:colOff>
      <xdr:row>59</xdr:row>
      <xdr:rowOff>82550</xdr:rowOff>
    </xdr:from>
    <xdr:to>
      <xdr:col>13</xdr:col>
      <xdr:colOff>355600</xdr:colOff>
      <xdr:row>75</xdr:row>
      <xdr:rowOff>37085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227266-C907-92CB-971E-2A005A30F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0250" y="11480800"/>
          <a:ext cx="3054350" cy="3002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339725</xdr:colOff>
      <xdr:row>2</xdr:row>
      <xdr:rowOff>6350</xdr:rowOff>
    </xdr:from>
    <xdr:to>
      <xdr:col>14</xdr:col>
      <xdr:colOff>252942</xdr:colOff>
      <xdr:row>17</xdr:row>
      <xdr:rowOff>47624</xdr:rowOff>
    </xdr:to>
    <xdr:pic>
      <xdr:nvPicPr>
        <xdr:cNvPr id="7" name="Picture 6" descr="Distribution of HI by V">
          <a:extLst>
            <a:ext uri="{FF2B5EF4-FFF2-40B4-BE49-F238E27FC236}">
              <a16:creationId xmlns:a16="http://schemas.microsoft.com/office/drawing/2014/main" id="{4333A8E5-56C6-644E-94E6-A3643994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5725" y="403225"/>
          <a:ext cx="3754967" cy="2946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269875</xdr:colOff>
      <xdr:row>47</xdr:row>
      <xdr:rowOff>142875</xdr:rowOff>
    </xdr:from>
    <xdr:to>
      <xdr:col>6</xdr:col>
      <xdr:colOff>454025</xdr:colOff>
      <xdr:row>67</xdr:row>
      <xdr:rowOff>34926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D5FC86-F84A-A4C8-E6C4-0D1C3355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" y="9255125"/>
          <a:ext cx="3771900" cy="3702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33</xdr:row>
      <xdr:rowOff>63500</xdr:rowOff>
    </xdr:from>
    <xdr:to>
      <xdr:col>13</xdr:col>
      <xdr:colOff>1241425</xdr:colOff>
      <xdr:row>49</xdr:row>
      <xdr:rowOff>22225</xdr:rowOff>
    </xdr:to>
    <xdr:pic>
      <xdr:nvPicPr>
        <xdr:cNvPr id="11" name="Picture 10" descr="Distribution of BIO by V">
          <a:extLst>
            <a:ext uri="{FF2B5EF4-FFF2-40B4-BE49-F238E27FC236}">
              <a16:creationId xmlns:a16="http://schemas.microsoft.com/office/drawing/2014/main" id="{240A8D4D-2DB1-F6FC-E623-E0F41652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6125" y="6461125"/>
          <a:ext cx="3924300" cy="305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285750</xdr:colOff>
      <xdr:row>67</xdr:row>
      <xdr:rowOff>127000</xdr:rowOff>
    </xdr:from>
    <xdr:to>
      <xdr:col>5</xdr:col>
      <xdr:colOff>160371</xdr:colOff>
      <xdr:row>82</xdr:row>
      <xdr:rowOff>69850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F27ACA4-68E3-7BDD-7808-3A844A1F2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049250"/>
          <a:ext cx="2859121" cy="280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566207</xdr:colOff>
      <xdr:row>2</xdr:row>
      <xdr:rowOff>68793</xdr:rowOff>
    </xdr:from>
    <xdr:to>
      <xdr:col>36</xdr:col>
      <xdr:colOff>566208</xdr:colOff>
      <xdr:row>17</xdr:row>
      <xdr:rowOff>6262</xdr:rowOff>
    </xdr:to>
    <xdr:pic>
      <xdr:nvPicPr>
        <xdr:cNvPr id="15" name="Picture 14" descr="Distribution of YIELD by V">
          <a:extLst>
            <a:ext uri="{FF2B5EF4-FFF2-40B4-BE49-F238E27FC236}">
              <a16:creationId xmlns:a16="http://schemas.microsoft.com/office/drawing/2014/main" id="{E653EBBF-B4F5-695B-CAF9-8AAF142E3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85957" y="449793"/>
          <a:ext cx="3619501" cy="284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523875</xdr:colOff>
      <xdr:row>17</xdr:row>
      <xdr:rowOff>111124</xdr:rowOff>
    </xdr:from>
    <xdr:to>
      <xdr:col>38</xdr:col>
      <xdr:colOff>312209</xdr:colOff>
      <xdr:row>36</xdr:row>
      <xdr:rowOff>59544</xdr:rowOff>
    </xdr:to>
    <xdr:pic>
      <xdr:nvPicPr>
        <xdr:cNvPr id="17" name="Picture 16" descr="Distribution of HI by V">
          <a:extLst>
            <a:ext uri="{FF2B5EF4-FFF2-40B4-BE49-F238E27FC236}">
              <a16:creationId xmlns:a16="http://schemas.microsoft.com/office/drawing/2014/main" id="{36C70C9C-940D-97F1-3A10-3526B988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625" y="3349624"/>
          <a:ext cx="4614334" cy="3647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386292</xdr:colOff>
      <xdr:row>37</xdr:row>
      <xdr:rowOff>58209</xdr:rowOff>
    </xdr:from>
    <xdr:to>
      <xdr:col>37</xdr:col>
      <xdr:colOff>576791</xdr:colOff>
      <xdr:row>55</xdr:row>
      <xdr:rowOff>108891</xdr:rowOff>
    </xdr:to>
    <xdr:pic>
      <xdr:nvPicPr>
        <xdr:cNvPr id="19" name="Picture 18" descr="Distribution of BIO by V">
          <a:extLst>
            <a:ext uri="{FF2B5EF4-FFF2-40B4-BE49-F238E27FC236}">
              <a16:creationId xmlns:a16="http://schemas.microsoft.com/office/drawing/2014/main" id="{D2DD65DC-45EF-E642-E06B-E8ACDA0D6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8417" y="7249584"/>
          <a:ext cx="4413249" cy="3495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270416</xdr:colOff>
      <xdr:row>20</xdr:row>
      <xdr:rowOff>174625</xdr:rowOff>
    </xdr:from>
    <xdr:to>
      <xdr:col>30</xdr:col>
      <xdr:colOff>88900</xdr:colOff>
      <xdr:row>40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F2D7278-A8D8-9E3F-7767-169EBDC1F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3041" y="4064000"/>
          <a:ext cx="3437984" cy="3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513292</xdr:colOff>
      <xdr:row>27</xdr:row>
      <xdr:rowOff>116416</xdr:rowOff>
    </xdr:from>
    <xdr:to>
      <xdr:col>21</xdr:col>
      <xdr:colOff>172509</xdr:colOff>
      <xdr:row>46</xdr:row>
      <xdr:rowOff>119591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695E78B-6FCD-62AD-7B80-570DD71B7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2667" y="5339291"/>
          <a:ext cx="3532717" cy="370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31750</xdr:colOff>
      <xdr:row>38</xdr:row>
      <xdr:rowOff>132292</xdr:rowOff>
    </xdr:from>
    <xdr:to>
      <xdr:col>26</xdr:col>
      <xdr:colOff>484717</xdr:colOff>
      <xdr:row>58</xdr:row>
      <xdr:rowOff>8467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D60BFF1-009A-4F06-F84A-458F44CD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4625" y="7514167"/>
          <a:ext cx="3469217" cy="370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C903-A722-4B0A-9F0F-90A70117E97D}">
  <dimension ref="A1:AA74"/>
  <sheetViews>
    <sheetView tabSelected="1" topLeftCell="K1" zoomScale="57" zoomScaleNormal="57" workbookViewId="0">
      <pane ySplit="1" topLeftCell="A2" activePane="bottomLeft" state="frozen"/>
      <selection pane="bottomLeft" activeCell="AS24" sqref="AS24"/>
    </sheetView>
  </sheetViews>
  <sheetFormatPr defaultRowHeight="15" x14ac:dyDescent="0.25"/>
  <cols>
    <col min="1" max="1" width="14.85546875" style="1" customWidth="1"/>
    <col min="2" max="2" width="18.7109375" style="1" customWidth="1"/>
    <col min="3" max="3" width="15.7109375" style="1" customWidth="1"/>
    <col min="4" max="4" width="7.42578125" style="1" customWidth="1"/>
    <col min="5" max="5" width="9.7109375" style="1" customWidth="1"/>
    <col min="6" max="6" width="9.5703125" style="1" customWidth="1"/>
    <col min="7" max="7" width="9.85546875" style="1" customWidth="1"/>
    <col min="8" max="8" width="13.7109375" style="1" customWidth="1"/>
    <col min="9" max="9" width="15.7109375" style="6" customWidth="1"/>
    <col min="10" max="10" width="18.7109375" style="1" customWidth="1"/>
    <col min="11" max="11" width="19.28515625" style="1" customWidth="1"/>
    <col min="12" max="12" width="12" style="1" customWidth="1"/>
    <col min="13" max="13" width="15.42578125" style="1" customWidth="1"/>
    <col min="14" max="14" width="20" style="6" customWidth="1"/>
    <col min="15" max="15" width="13.5703125" style="1" customWidth="1"/>
    <col min="16" max="16" width="10.7109375" style="1" customWidth="1"/>
    <col min="17" max="18" width="13.42578125" style="1" customWidth="1"/>
    <col min="19" max="19" width="12.140625" style="15" customWidth="1"/>
    <col min="20" max="20" width="16" style="12" customWidth="1"/>
    <col min="21" max="21" width="13.28515625" style="1" customWidth="1"/>
    <col min="22" max="22" width="16.28515625" style="1" customWidth="1"/>
    <col min="23" max="23" width="14.5703125" style="6" customWidth="1"/>
    <col min="24" max="24" width="12" style="15" customWidth="1"/>
    <col min="25" max="25" width="14" style="1" customWidth="1"/>
    <col min="26" max="26" width="13" style="1" customWidth="1"/>
    <col min="27" max="27" width="16" style="1" customWidth="1"/>
  </cols>
  <sheetData>
    <row r="1" spans="1:27" ht="30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13" t="s">
        <v>33</v>
      </c>
      <c r="T1" s="10" t="s">
        <v>34</v>
      </c>
      <c r="U1" s="4" t="s">
        <v>35</v>
      </c>
      <c r="V1" s="8" t="s">
        <v>36</v>
      </c>
      <c r="W1" s="4" t="s">
        <v>37</v>
      </c>
      <c r="X1" s="13" t="s">
        <v>42</v>
      </c>
      <c r="Y1" s="4" t="s">
        <v>38</v>
      </c>
      <c r="Z1" s="4" t="s">
        <v>39</v>
      </c>
      <c r="AA1" s="4" t="s">
        <v>40</v>
      </c>
    </row>
    <row r="3" spans="1:27" x14ac:dyDescent="0.25">
      <c r="A3" s="2">
        <v>4</v>
      </c>
      <c r="B3" s="2" t="s">
        <v>0</v>
      </c>
      <c r="C3" s="2" t="s">
        <v>1</v>
      </c>
      <c r="D3" s="2">
        <v>1</v>
      </c>
      <c r="E3" s="2">
        <v>1</v>
      </c>
      <c r="F3" s="2">
        <v>280</v>
      </c>
      <c r="G3" s="2" t="s">
        <v>2</v>
      </c>
      <c r="H3" s="2">
        <v>371000</v>
      </c>
      <c r="I3" s="5">
        <v>7.5789999999999996E-2</v>
      </c>
      <c r="J3" s="2">
        <v>0.60950000000000004</v>
      </c>
      <c r="K3" s="2">
        <v>0.68529000000000007</v>
      </c>
      <c r="L3" s="2">
        <v>0.91400000000000003</v>
      </c>
      <c r="M3" s="2">
        <v>1.8280000000000001</v>
      </c>
      <c r="N3" s="7">
        <v>3748.8512035010899</v>
      </c>
      <c r="O3" s="3">
        <v>0</v>
      </c>
      <c r="P3" s="3">
        <v>79.141864699851652</v>
      </c>
      <c r="Q3" s="3">
        <v>983.83230555003001</v>
      </c>
      <c r="R3" s="3">
        <v>2685.8770332512127</v>
      </c>
      <c r="S3" s="14">
        <v>0.47235783084839689</v>
      </c>
      <c r="T3" s="11">
        <v>1770.7992226591791</v>
      </c>
      <c r="U3" s="3">
        <v>0.39622641509433959</v>
      </c>
      <c r="V3" s="9">
        <v>1485.3938730853392</v>
      </c>
      <c r="W3" s="7">
        <v>1516.9584245076585</v>
      </c>
      <c r="X3" s="14">
        <v>0.40464620817464131</v>
      </c>
      <c r="Y3" s="3">
        <v>48.006</v>
      </c>
      <c r="Z3" s="3">
        <v>13</v>
      </c>
      <c r="AA3" s="3">
        <f t="shared" ref="AA3:AA66" si="0">W3*0.0149/0.87</f>
        <v>25.980092557659898</v>
      </c>
    </row>
    <row r="4" spans="1:27" x14ac:dyDescent="0.25">
      <c r="A4" s="2">
        <v>4</v>
      </c>
      <c r="B4" s="2" t="s">
        <v>3</v>
      </c>
      <c r="C4" s="2" t="s">
        <v>1</v>
      </c>
      <c r="D4" s="2">
        <v>1</v>
      </c>
      <c r="E4" s="2">
        <v>2</v>
      </c>
      <c r="F4" s="2">
        <v>274</v>
      </c>
      <c r="G4" s="2" t="s">
        <v>2</v>
      </c>
      <c r="H4" s="2">
        <v>371000</v>
      </c>
      <c r="I4" s="5">
        <v>9.978999999999999E-2</v>
      </c>
      <c r="J4" s="2">
        <v>0.47549999999999998</v>
      </c>
      <c r="K4" s="2">
        <v>0.57528999999999997</v>
      </c>
      <c r="L4" s="2">
        <v>0.91400000000000003</v>
      </c>
      <c r="M4" s="2">
        <v>1.8280000000000001</v>
      </c>
      <c r="N4" s="7">
        <v>3147.1006564551417</v>
      </c>
      <c r="O4" s="3">
        <v>0</v>
      </c>
      <c r="P4" s="3">
        <v>18.922340854525402</v>
      </c>
      <c r="Q4" s="3">
        <v>721.88730360014233</v>
      </c>
      <c r="R4" s="3">
        <v>2406.291012000474</v>
      </c>
      <c r="S4" s="14">
        <v>0.52009219360657377</v>
      </c>
      <c r="T4" s="11">
        <v>1636.782483916443</v>
      </c>
      <c r="U4" s="3">
        <v>0.44815983175604629</v>
      </c>
      <c r="V4" s="9">
        <v>1410.4041007162791</v>
      </c>
      <c r="W4" s="7">
        <v>1449.671772428884</v>
      </c>
      <c r="X4" s="14">
        <v>0.4606372438248536</v>
      </c>
      <c r="Y4" s="3">
        <v>54.940200000000004</v>
      </c>
      <c r="Z4" s="3">
        <v>15.2</v>
      </c>
      <c r="AA4" s="3">
        <f t="shared" si="0"/>
        <v>24.827711964586634</v>
      </c>
    </row>
    <row r="5" spans="1:27" x14ac:dyDescent="0.25">
      <c r="A5" s="2">
        <v>4</v>
      </c>
      <c r="B5" s="2" t="s">
        <v>4</v>
      </c>
      <c r="C5" s="2" t="s">
        <v>1</v>
      </c>
      <c r="D5" s="2">
        <v>1</v>
      </c>
      <c r="E5" s="2">
        <v>3</v>
      </c>
      <c r="F5" s="2">
        <v>280</v>
      </c>
      <c r="G5" s="2" t="s">
        <v>2</v>
      </c>
      <c r="H5" s="2">
        <v>371000</v>
      </c>
      <c r="I5" s="5">
        <v>9.0789999999999996E-2</v>
      </c>
      <c r="J5" s="2">
        <v>0.47249999999999998</v>
      </c>
      <c r="K5" s="2">
        <v>0.56328999999999996</v>
      </c>
      <c r="L5" s="2">
        <v>0.91400000000000003</v>
      </c>
      <c r="M5" s="2">
        <v>1.8280000000000001</v>
      </c>
      <c r="N5" s="7">
        <v>3081.4551422319473</v>
      </c>
      <c r="O5" s="3">
        <v>0</v>
      </c>
      <c r="P5" s="3">
        <v>54.304749725422624</v>
      </c>
      <c r="Q5" s="3">
        <v>878.71873149449414</v>
      </c>
      <c r="R5" s="3">
        <v>2148.4316610120304</v>
      </c>
      <c r="S5" s="14">
        <v>0.46811322832911118</v>
      </c>
      <c r="T5" s="11">
        <v>1442.4699145815373</v>
      </c>
      <c r="U5" s="3">
        <v>0.42116402116402119</v>
      </c>
      <c r="V5" s="9">
        <v>1297.7980387389578</v>
      </c>
      <c r="W5" s="7">
        <v>1321.1159737417943</v>
      </c>
      <c r="X5" s="14">
        <v>0.42873120417546912</v>
      </c>
      <c r="Y5" s="3">
        <v>51.308</v>
      </c>
      <c r="Z5" s="3">
        <v>12</v>
      </c>
      <c r="AA5" s="3">
        <f t="shared" si="0"/>
        <v>22.626009205462914</v>
      </c>
    </row>
    <row r="6" spans="1:27" x14ac:dyDescent="0.25">
      <c r="A6" s="2">
        <v>4</v>
      </c>
      <c r="B6" s="2" t="s">
        <v>5</v>
      </c>
      <c r="C6" s="2" t="s">
        <v>1</v>
      </c>
      <c r="D6" s="2">
        <v>1</v>
      </c>
      <c r="E6" s="2">
        <v>4</v>
      </c>
      <c r="F6" s="2">
        <v>274</v>
      </c>
      <c r="G6" s="2" t="s">
        <v>2</v>
      </c>
      <c r="H6" s="2">
        <v>371000</v>
      </c>
      <c r="I6" s="5">
        <v>0.13719000000000001</v>
      </c>
      <c r="J6" s="2">
        <v>0.48049999999999998</v>
      </c>
      <c r="K6" s="2">
        <v>0.61768999999999996</v>
      </c>
      <c r="L6" s="2">
        <v>0.91400000000000003</v>
      </c>
      <c r="M6" s="2">
        <v>1.8280000000000001</v>
      </c>
      <c r="N6" s="7">
        <v>3379.0481400437634</v>
      </c>
      <c r="O6" s="3">
        <v>0</v>
      </c>
      <c r="P6" s="3">
        <v>0</v>
      </c>
      <c r="Q6" s="3">
        <v>883.98598838232124</v>
      </c>
      <c r="R6" s="3">
        <v>2495.0621516614419</v>
      </c>
      <c r="S6" s="14">
        <v>0.48108462715941397</v>
      </c>
      <c r="T6" s="11">
        <v>1625.6081146066651</v>
      </c>
      <c r="U6" s="3">
        <v>0.41436004162330914</v>
      </c>
      <c r="V6" s="9">
        <v>1400.1425279556991</v>
      </c>
      <c r="W6" s="7">
        <v>1450.2188183807439</v>
      </c>
      <c r="X6" s="14">
        <v>0.42917968560281045</v>
      </c>
      <c r="Y6" s="3">
        <v>58.674000000000007</v>
      </c>
      <c r="Z6" s="3">
        <v>19.2</v>
      </c>
      <c r="AA6" s="3">
        <f t="shared" si="0"/>
        <v>24.8370809124978</v>
      </c>
    </row>
    <row r="7" spans="1:27" x14ac:dyDescent="0.25">
      <c r="A7" s="2">
        <v>4</v>
      </c>
      <c r="B7" s="2" t="s">
        <v>6</v>
      </c>
      <c r="C7" s="2" t="s">
        <v>1</v>
      </c>
      <c r="D7" s="2">
        <v>1</v>
      </c>
      <c r="E7" s="2">
        <v>5</v>
      </c>
      <c r="F7" s="2">
        <v>274</v>
      </c>
      <c r="G7" s="2" t="s">
        <v>2</v>
      </c>
      <c r="H7" s="2">
        <v>371000</v>
      </c>
      <c r="I7" s="5">
        <v>9.7189999999999999E-2</v>
      </c>
      <c r="J7" s="2" t="s">
        <v>41</v>
      </c>
      <c r="K7" s="2">
        <v>9.7189999999999999E-2</v>
      </c>
      <c r="L7" s="2">
        <v>0.91400000000000003</v>
      </c>
      <c r="M7" s="2">
        <v>1.8280000000000001</v>
      </c>
      <c r="N7" s="7">
        <v>531.67396061269142</v>
      </c>
      <c r="O7" s="3">
        <v>0</v>
      </c>
      <c r="P7" s="3">
        <v>0</v>
      </c>
      <c r="Q7" s="3">
        <v>125.21881838074397</v>
      </c>
      <c r="R7" s="3">
        <v>406.45514223194738</v>
      </c>
      <c r="S7" s="14">
        <v>0.51034057001749145</v>
      </c>
      <c r="T7" s="11">
        <v>271.33479212253826</v>
      </c>
      <c r="U7" s="3"/>
      <c r="V7" s="9" t="s">
        <v>41</v>
      </c>
      <c r="W7" s="7">
        <v>271.3347921225382</v>
      </c>
      <c r="X7" s="14">
        <v>0.51034057001749134</v>
      </c>
      <c r="Y7" s="3">
        <v>64.262</v>
      </c>
      <c r="Z7" s="3">
        <v>19</v>
      </c>
      <c r="AA7" s="3">
        <f t="shared" si="0"/>
        <v>4.6469981639377238</v>
      </c>
    </row>
    <row r="8" spans="1:27" x14ac:dyDescent="0.25">
      <c r="A8" s="2">
        <v>4</v>
      </c>
      <c r="B8" s="2" t="s">
        <v>7</v>
      </c>
      <c r="C8" s="2" t="s">
        <v>1</v>
      </c>
      <c r="D8" s="2">
        <v>1</v>
      </c>
      <c r="E8" s="2">
        <v>6</v>
      </c>
      <c r="F8" s="2">
        <v>284</v>
      </c>
      <c r="G8" s="2" t="s">
        <v>2</v>
      </c>
      <c r="H8" s="2">
        <v>371000</v>
      </c>
      <c r="I8" s="5" t="s">
        <v>41</v>
      </c>
      <c r="J8" s="2">
        <v>0.97550000000000003</v>
      </c>
      <c r="K8" s="2">
        <v>0.97550000000000003</v>
      </c>
      <c r="L8" s="2">
        <v>0.91400000000000003</v>
      </c>
      <c r="M8" s="2">
        <v>1.8280000000000001</v>
      </c>
      <c r="N8" s="7">
        <v>5336.4332603938728</v>
      </c>
      <c r="O8" s="3" t="s">
        <v>41</v>
      </c>
      <c r="P8" s="3" t="s">
        <v>41</v>
      </c>
      <c r="Q8" s="3" t="s">
        <v>41</v>
      </c>
      <c r="R8" s="3" t="s">
        <v>41</v>
      </c>
      <c r="S8" s="14" t="s">
        <v>41</v>
      </c>
      <c r="T8" s="11" t="s">
        <v>41</v>
      </c>
      <c r="U8" s="3">
        <v>0.48477703741670941</v>
      </c>
      <c r="V8" s="9">
        <v>2586.980306345733</v>
      </c>
      <c r="W8" s="7">
        <v>2586.980306345733</v>
      </c>
      <c r="X8" s="14">
        <v>0.48477703741670941</v>
      </c>
      <c r="Y8" s="3" t="s">
        <v>41</v>
      </c>
      <c r="Z8" s="3" t="s">
        <v>41</v>
      </c>
      <c r="AA8" s="3">
        <f t="shared" si="0"/>
        <v>44.305754671898185</v>
      </c>
    </row>
    <row r="9" spans="1:27" x14ac:dyDescent="0.25">
      <c r="A9" s="2">
        <v>4</v>
      </c>
      <c r="B9" s="2" t="s">
        <v>8</v>
      </c>
      <c r="C9" s="2" t="s">
        <v>1</v>
      </c>
      <c r="D9" s="2">
        <v>1</v>
      </c>
      <c r="E9" s="2">
        <v>7</v>
      </c>
      <c r="F9" s="2">
        <v>284</v>
      </c>
      <c r="G9" s="2" t="s">
        <v>2</v>
      </c>
      <c r="H9" s="2">
        <v>371000</v>
      </c>
      <c r="I9" s="5" t="s">
        <v>41</v>
      </c>
      <c r="J9" s="2">
        <v>0.76249999999999996</v>
      </c>
      <c r="K9" s="2">
        <v>0.76249999999999996</v>
      </c>
      <c r="L9" s="2">
        <v>0.91400000000000003</v>
      </c>
      <c r="M9" s="2">
        <v>1.8280000000000001</v>
      </c>
      <c r="N9" s="7">
        <v>4171.2253829321662</v>
      </c>
      <c r="O9" s="3" t="s">
        <v>41</v>
      </c>
      <c r="P9" s="3" t="s">
        <v>41</v>
      </c>
      <c r="Q9" s="3" t="s">
        <v>41</v>
      </c>
      <c r="R9" s="3" t="s">
        <v>41</v>
      </c>
      <c r="S9" s="14" t="s">
        <v>41</v>
      </c>
      <c r="T9" s="11" t="s">
        <v>41</v>
      </c>
      <c r="U9" s="3">
        <v>0.42478688524590169</v>
      </c>
      <c r="V9" s="9">
        <v>1771.8818380743985</v>
      </c>
      <c r="W9" s="7">
        <v>1771.8818380743983</v>
      </c>
      <c r="X9" s="14">
        <v>0.42478688524590164</v>
      </c>
      <c r="Y9" s="3" t="s">
        <v>41</v>
      </c>
      <c r="Z9" s="3" t="s">
        <v>41</v>
      </c>
      <c r="AA9" s="3">
        <f t="shared" si="0"/>
        <v>30.346022284262681</v>
      </c>
    </row>
    <row r="10" spans="1:27" x14ac:dyDescent="0.25">
      <c r="A10" s="2">
        <v>4</v>
      </c>
      <c r="B10" s="2" t="s">
        <v>9</v>
      </c>
      <c r="C10" s="2" t="s">
        <v>1</v>
      </c>
      <c r="D10" s="2">
        <v>1</v>
      </c>
      <c r="E10" s="2">
        <v>8</v>
      </c>
      <c r="F10" s="2">
        <v>280</v>
      </c>
      <c r="G10" s="2" t="s">
        <v>2</v>
      </c>
      <c r="H10" s="2">
        <v>371000</v>
      </c>
      <c r="I10" s="5" t="s">
        <v>41</v>
      </c>
      <c r="J10" s="2">
        <v>0.63949999999999996</v>
      </c>
      <c r="K10" s="2">
        <v>0.63949999999999996</v>
      </c>
      <c r="L10" s="2">
        <v>0.91400000000000003</v>
      </c>
      <c r="M10" s="2">
        <v>1.8280000000000001</v>
      </c>
      <c r="N10" s="7">
        <v>3498.3588621444201</v>
      </c>
      <c r="O10" s="3" t="s">
        <v>41</v>
      </c>
      <c r="P10" s="3" t="s">
        <v>41</v>
      </c>
      <c r="Q10" s="3" t="s">
        <v>41</v>
      </c>
      <c r="R10" s="3" t="s">
        <v>41</v>
      </c>
      <c r="S10" s="14" t="s">
        <v>41</v>
      </c>
      <c r="T10" s="11" t="s">
        <v>41</v>
      </c>
      <c r="U10" s="3">
        <v>0.35387021110242378</v>
      </c>
      <c r="V10" s="9">
        <v>1237.9649890590811</v>
      </c>
      <c r="W10" s="7">
        <v>1237.9649890590808</v>
      </c>
      <c r="X10" s="14">
        <v>0.35387021110242373</v>
      </c>
      <c r="Y10" s="3" t="s">
        <v>41</v>
      </c>
      <c r="Z10" s="3"/>
      <c r="AA10" s="3">
        <f t="shared" si="0"/>
        <v>21.201929122965868</v>
      </c>
    </row>
    <row r="11" spans="1:27" x14ac:dyDescent="0.25">
      <c r="A11" s="2">
        <v>4</v>
      </c>
      <c r="B11" s="2" t="s">
        <v>10</v>
      </c>
      <c r="C11" s="2" t="s">
        <v>1</v>
      </c>
      <c r="D11" s="2">
        <v>1</v>
      </c>
      <c r="E11" s="2">
        <v>9</v>
      </c>
      <c r="F11" s="2">
        <v>270</v>
      </c>
      <c r="G11" s="2" t="s">
        <v>2</v>
      </c>
      <c r="H11" s="2">
        <v>371000</v>
      </c>
      <c r="I11" s="5">
        <v>0.11219000000000001</v>
      </c>
      <c r="J11" s="2">
        <v>0.27550000000000002</v>
      </c>
      <c r="K11" s="2">
        <v>0.38769000000000003</v>
      </c>
      <c r="L11" s="2">
        <v>0.91400000000000003</v>
      </c>
      <c r="M11" s="2">
        <v>1.8280000000000001</v>
      </c>
      <c r="N11" s="7">
        <v>2120.8424507658647</v>
      </c>
      <c r="O11" s="3">
        <v>0</v>
      </c>
      <c r="P11" s="3">
        <v>0</v>
      </c>
      <c r="Q11" s="3">
        <v>451.61713297795262</v>
      </c>
      <c r="R11" s="3">
        <v>1669.2253177879118</v>
      </c>
      <c r="S11" s="14">
        <v>0.39308316249220066</v>
      </c>
      <c r="T11" s="11">
        <v>833.6674576947554</v>
      </c>
      <c r="U11" s="3">
        <v>0.47223230490018153</v>
      </c>
      <c r="V11" s="9">
        <v>1001.530318855314</v>
      </c>
      <c r="W11" s="7">
        <v>952.95404814004382</v>
      </c>
      <c r="X11" s="14">
        <v>0.44932807139725034</v>
      </c>
      <c r="Y11" s="3">
        <v>31.75</v>
      </c>
      <c r="Z11" s="3" t="s">
        <v>41</v>
      </c>
      <c r="AA11" s="3">
        <f t="shared" si="0"/>
        <v>16.320707261249026</v>
      </c>
    </row>
    <row r="12" spans="1:27" x14ac:dyDescent="0.25">
      <c r="A12" s="2">
        <v>4</v>
      </c>
      <c r="B12" s="2" t="s">
        <v>11</v>
      </c>
      <c r="C12" s="2" t="s">
        <v>1</v>
      </c>
      <c r="D12" s="2">
        <v>1</v>
      </c>
      <c r="E12" s="2">
        <v>10</v>
      </c>
      <c r="F12" s="2">
        <v>270</v>
      </c>
      <c r="G12" s="2" t="s">
        <v>2</v>
      </c>
      <c r="H12" s="2">
        <v>371000</v>
      </c>
      <c r="I12" s="5">
        <v>0.11918999999999999</v>
      </c>
      <c r="J12" s="2">
        <v>0.30149999999999999</v>
      </c>
      <c r="K12" s="2">
        <v>0.42069000000000001</v>
      </c>
      <c r="L12" s="2">
        <v>0.91400000000000003</v>
      </c>
      <c r="M12" s="2">
        <v>1.8280000000000001</v>
      </c>
      <c r="N12" s="7">
        <v>2301.3676148796494</v>
      </c>
      <c r="O12" s="3">
        <v>0</v>
      </c>
      <c r="P12" s="3">
        <v>0</v>
      </c>
      <c r="Q12" s="3">
        <v>577.12793026892132</v>
      </c>
      <c r="R12" s="3">
        <v>1724.2396846107281</v>
      </c>
      <c r="S12" s="14">
        <v>0.42285426629750816</v>
      </c>
      <c r="T12" s="11">
        <v>973.14311427078053</v>
      </c>
      <c r="U12" s="3">
        <v>0.35190713101160864</v>
      </c>
      <c r="V12" s="9">
        <v>809.86767475532611</v>
      </c>
      <c r="W12" s="7">
        <v>856.12691466083152</v>
      </c>
      <c r="X12" s="14">
        <v>0.3720078917968101</v>
      </c>
      <c r="Y12" s="3">
        <v>48.768000000000001</v>
      </c>
      <c r="Z12" s="3">
        <v>14.6</v>
      </c>
      <c r="AA12" s="3">
        <f t="shared" si="0"/>
        <v>14.662403480972861</v>
      </c>
    </row>
    <row r="13" spans="1:27" x14ac:dyDescent="0.25">
      <c r="A13" s="2">
        <v>4</v>
      </c>
      <c r="B13" s="2" t="s">
        <v>12</v>
      </c>
      <c r="C13" s="2" t="s">
        <v>1</v>
      </c>
      <c r="D13" s="2">
        <v>1</v>
      </c>
      <c r="E13" s="2">
        <v>11</v>
      </c>
      <c r="F13" s="2">
        <v>270</v>
      </c>
      <c r="G13" s="2" t="s">
        <v>2</v>
      </c>
      <c r="H13" s="2">
        <v>371000</v>
      </c>
      <c r="I13" s="5">
        <v>0.18679000000000001</v>
      </c>
      <c r="J13" s="2">
        <v>0.30049999999999999</v>
      </c>
      <c r="K13" s="2">
        <v>0.48729</v>
      </c>
      <c r="L13" s="2">
        <v>0.91400000000000003</v>
      </c>
      <c r="M13" s="2">
        <v>1.8280000000000001</v>
      </c>
      <c r="N13" s="7">
        <v>2665.7002188183806</v>
      </c>
      <c r="O13" s="3">
        <v>0</v>
      </c>
      <c r="P13" s="3">
        <v>393.88257422446225</v>
      </c>
      <c r="Q13" s="3">
        <v>769.06999728102426</v>
      </c>
      <c r="R13" s="3">
        <v>1502.7476473128938</v>
      </c>
      <c r="S13" s="14">
        <v>0.3158627335510466</v>
      </c>
      <c r="T13" s="11">
        <v>841.99535794359679</v>
      </c>
      <c r="U13" s="3">
        <v>0.3577371048252912</v>
      </c>
      <c r="V13" s="9">
        <v>953.6198786122327</v>
      </c>
      <c r="W13" s="7">
        <v>910.83150984682698</v>
      </c>
      <c r="X13" s="14">
        <v>0.34168564920273342</v>
      </c>
      <c r="Y13" s="3">
        <v>44.45</v>
      </c>
      <c r="Z13" s="3">
        <v>14.2</v>
      </c>
      <c r="AA13" s="3">
        <f t="shared" si="0"/>
        <v>15.599298272089335</v>
      </c>
    </row>
    <row r="14" spans="1:27" x14ac:dyDescent="0.25">
      <c r="A14" s="2">
        <v>4</v>
      </c>
      <c r="B14" s="2" t="s">
        <v>13</v>
      </c>
      <c r="C14" s="2" t="s">
        <v>1</v>
      </c>
      <c r="D14" s="2">
        <v>1</v>
      </c>
      <c r="E14" s="2">
        <v>12</v>
      </c>
      <c r="F14" s="2">
        <v>270</v>
      </c>
      <c r="G14" s="2" t="s">
        <v>2</v>
      </c>
      <c r="H14" s="2">
        <v>371000</v>
      </c>
      <c r="I14" s="5" t="s">
        <v>41</v>
      </c>
      <c r="J14" s="2">
        <v>0.61250000000000004</v>
      </c>
      <c r="K14" s="2">
        <v>0.61250000000000004</v>
      </c>
      <c r="L14" s="2">
        <v>0.91400000000000003</v>
      </c>
      <c r="M14" s="2">
        <v>1.8280000000000001</v>
      </c>
      <c r="N14" s="7">
        <v>3350.6564551422316</v>
      </c>
      <c r="O14" s="3" t="s">
        <v>41</v>
      </c>
      <c r="P14" s="3" t="s">
        <v>41</v>
      </c>
      <c r="Q14" s="3" t="s">
        <v>41</v>
      </c>
      <c r="R14" s="3">
        <v>0</v>
      </c>
      <c r="S14" s="14" t="s">
        <v>41</v>
      </c>
      <c r="T14" s="11" t="s">
        <v>41</v>
      </c>
      <c r="U14" s="3">
        <v>0.44734693877551018</v>
      </c>
      <c r="V14" s="9">
        <v>1498.90590809628</v>
      </c>
      <c r="W14" s="7">
        <v>1498.90590809628</v>
      </c>
      <c r="X14" s="14">
        <v>0.44734693877551024</v>
      </c>
      <c r="Y14" s="3" t="s">
        <v>41</v>
      </c>
      <c r="Z14" s="3" t="s">
        <v>41</v>
      </c>
      <c r="AA14" s="3">
        <f t="shared" si="0"/>
        <v>25.670917276591464</v>
      </c>
    </row>
    <row r="15" spans="1:27" x14ac:dyDescent="0.25">
      <c r="A15" s="2">
        <v>4</v>
      </c>
      <c r="B15" s="2" t="s">
        <v>11</v>
      </c>
      <c r="C15" s="2" t="s">
        <v>1</v>
      </c>
      <c r="D15" s="2">
        <v>2</v>
      </c>
      <c r="E15" s="2">
        <v>13</v>
      </c>
      <c r="F15" s="2">
        <v>270</v>
      </c>
      <c r="G15" s="2" t="s">
        <v>2</v>
      </c>
      <c r="H15" s="2">
        <v>371000</v>
      </c>
      <c r="I15" s="5">
        <v>9.0189999999999992E-2</v>
      </c>
      <c r="J15" s="2">
        <v>0.3095</v>
      </c>
      <c r="K15" s="2">
        <v>0.39968999999999999</v>
      </c>
      <c r="L15" s="2">
        <v>0.91400000000000003</v>
      </c>
      <c r="M15" s="2">
        <v>1.8280000000000001</v>
      </c>
      <c r="N15" s="7">
        <v>2186.487964989059</v>
      </c>
      <c r="O15" s="3">
        <v>0</v>
      </c>
      <c r="P15" s="3">
        <v>0</v>
      </c>
      <c r="Q15" s="3">
        <v>554.92526353919015</v>
      </c>
      <c r="R15" s="3">
        <v>1631.5627014498691</v>
      </c>
      <c r="S15" s="14">
        <v>0.34371881583324099</v>
      </c>
      <c r="T15" s="11">
        <v>751.53705415967227</v>
      </c>
      <c r="U15" s="3">
        <v>0.24620355411954767</v>
      </c>
      <c r="V15" s="9">
        <v>538.32110801992349</v>
      </c>
      <c r="W15" s="7">
        <v>586.43326039387307</v>
      </c>
      <c r="X15" s="14">
        <v>0.26820786109234657</v>
      </c>
      <c r="Y15" s="3">
        <v>56.895999999999994</v>
      </c>
      <c r="Z15" s="3">
        <v>15.8</v>
      </c>
      <c r="AA15" s="3">
        <f t="shared" si="0"/>
        <v>10.043512160768632</v>
      </c>
    </row>
    <row r="16" spans="1:27" x14ac:dyDescent="0.25">
      <c r="A16" s="2">
        <v>4</v>
      </c>
      <c r="B16" s="2" t="s">
        <v>9</v>
      </c>
      <c r="C16" s="2" t="s">
        <v>1</v>
      </c>
      <c r="D16" s="2">
        <v>2</v>
      </c>
      <c r="E16" s="2">
        <v>14</v>
      </c>
      <c r="F16" s="2">
        <v>284</v>
      </c>
      <c r="G16" s="2" t="s">
        <v>2</v>
      </c>
      <c r="H16" s="2">
        <v>371000</v>
      </c>
      <c r="I16" s="5" t="s">
        <v>41</v>
      </c>
      <c r="J16" s="2">
        <v>0.72350000000000003</v>
      </c>
      <c r="K16" s="2">
        <v>0.72350000000000003</v>
      </c>
      <c r="L16" s="2">
        <v>0.91400000000000003</v>
      </c>
      <c r="M16" s="2">
        <v>1.8280000000000001</v>
      </c>
      <c r="N16" s="7">
        <v>3957.8774617067834</v>
      </c>
      <c r="O16" s="3" t="s">
        <v>41</v>
      </c>
      <c r="P16" s="3" t="s">
        <v>41</v>
      </c>
      <c r="Q16" s="3" t="s">
        <v>41</v>
      </c>
      <c r="R16" s="3" t="s">
        <v>41</v>
      </c>
      <c r="S16" s="14" t="s">
        <v>41</v>
      </c>
      <c r="T16" s="11" t="s">
        <v>41</v>
      </c>
      <c r="U16" s="3">
        <v>0.41617138908085699</v>
      </c>
      <c r="V16" s="9">
        <v>1647.1553610503283</v>
      </c>
      <c r="W16" s="7">
        <v>1647.1553610503283</v>
      </c>
      <c r="X16" s="14">
        <v>0.41617138908085699</v>
      </c>
      <c r="Y16" s="3" t="s">
        <v>41</v>
      </c>
      <c r="Z16" s="3" t="s">
        <v>41</v>
      </c>
      <c r="AA16" s="3">
        <f t="shared" si="0"/>
        <v>28.209902160517117</v>
      </c>
    </row>
    <row r="17" spans="1:27" x14ac:dyDescent="0.25">
      <c r="A17" s="2">
        <v>4</v>
      </c>
      <c r="B17" s="2" t="s">
        <v>10</v>
      </c>
      <c r="C17" s="2" t="s">
        <v>1</v>
      </c>
      <c r="D17" s="2">
        <v>2</v>
      </c>
      <c r="E17" s="2">
        <v>15</v>
      </c>
      <c r="F17" s="2">
        <v>270</v>
      </c>
      <c r="G17" s="2" t="s">
        <v>2</v>
      </c>
      <c r="H17" s="2">
        <v>371000</v>
      </c>
      <c r="I17" s="5">
        <v>0.20979</v>
      </c>
      <c r="J17" s="2">
        <v>0.29549999999999998</v>
      </c>
      <c r="K17" s="2">
        <v>0.50529000000000002</v>
      </c>
      <c r="L17" s="2">
        <v>0.91400000000000003</v>
      </c>
      <c r="M17" s="2">
        <v>1.8280000000000001</v>
      </c>
      <c r="N17" s="7">
        <v>2764.168490153173</v>
      </c>
      <c r="O17" s="3">
        <v>0</v>
      </c>
      <c r="P17" s="3">
        <v>21.081412766314315</v>
      </c>
      <c r="Q17" s="3">
        <v>525.58597203017337</v>
      </c>
      <c r="R17" s="3">
        <v>2217.5011053566855</v>
      </c>
      <c r="S17" s="14">
        <v>0.50288383621716948</v>
      </c>
      <c r="T17" s="11">
        <v>1390.0556542788488</v>
      </c>
      <c r="U17" s="3">
        <v>0.48460236886632835</v>
      </c>
      <c r="V17" s="9">
        <v>1339.5225982738898</v>
      </c>
      <c r="W17" s="7">
        <v>1360.5032822757114</v>
      </c>
      <c r="X17" s="14">
        <v>0.4921926022680046</v>
      </c>
      <c r="Y17" s="3">
        <v>38.607999999999997</v>
      </c>
      <c r="Z17" s="3">
        <v>14.6</v>
      </c>
      <c r="AA17" s="3">
        <f t="shared" si="0"/>
        <v>23.300573455066782</v>
      </c>
    </row>
    <row r="18" spans="1:27" x14ac:dyDescent="0.25">
      <c r="A18" s="2">
        <v>4</v>
      </c>
      <c r="B18" s="2" t="s">
        <v>3</v>
      </c>
      <c r="C18" s="2" t="s">
        <v>1</v>
      </c>
      <c r="D18" s="2">
        <v>2</v>
      </c>
      <c r="E18" s="2">
        <v>16</v>
      </c>
      <c r="F18" s="2">
        <v>274</v>
      </c>
      <c r="G18" s="2" t="s">
        <v>2</v>
      </c>
      <c r="H18" s="2">
        <v>371000</v>
      </c>
      <c r="I18" s="5">
        <v>9.579E-2</v>
      </c>
      <c r="J18" s="2">
        <v>0.66249999999999998</v>
      </c>
      <c r="K18" s="2">
        <v>0.75829000000000002</v>
      </c>
      <c r="L18" s="2">
        <v>0.91400000000000003</v>
      </c>
      <c r="M18" s="2">
        <v>1.8280000000000001</v>
      </c>
      <c r="N18" s="7">
        <v>4148.1947483588619</v>
      </c>
      <c r="O18" s="3">
        <v>0</v>
      </c>
      <c r="P18" s="3">
        <v>155.89833066178005</v>
      </c>
      <c r="Q18" s="3">
        <v>1164.4739198597954</v>
      </c>
      <c r="R18" s="3">
        <v>2827.8224978372868</v>
      </c>
      <c r="S18" s="14">
        <v>0.45098653304102726</v>
      </c>
      <c r="T18" s="11">
        <v>1870.7799679413597</v>
      </c>
      <c r="U18" s="3">
        <v>0.38626415094339628</v>
      </c>
      <c r="V18" s="9">
        <v>1602.2989224226912</v>
      </c>
      <c r="W18" s="7">
        <v>1636.2144420131292</v>
      </c>
      <c r="X18" s="14">
        <v>0.39444012185311694</v>
      </c>
      <c r="Y18" s="3">
        <v>57.404000000000003</v>
      </c>
      <c r="Z18" s="3">
        <v>14.2</v>
      </c>
      <c r="AA18" s="3">
        <f t="shared" si="0"/>
        <v>28.022523202293822</v>
      </c>
    </row>
    <row r="19" spans="1:27" x14ac:dyDescent="0.25">
      <c r="A19" s="2">
        <v>4</v>
      </c>
      <c r="B19" s="2" t="s">
        <v>8</v>
      </c>
      <c r="C19" s="2" t="s">
        <v>1</v>
      </c>
      <c r="D19" s="2">
        <v>2</v>
      </c>
      <c r="E19" s="2">
        <v>17</v>
      </c>
      <c r="F19" s="2">
        <v>284</v>
      </c>
      <c r="G19" s="2" t="s">
        <v>2</v>
      </c>
      <c r="H19" s="2">
        <v>371000</v>
      </c>
      <c r="I19" s="5" t="s">
        <v>41</v>
      </c>
      <c r="J19" s="2">
        <v>0.66349999999999998</v>
      </c>
      <c r="K19" s="2">
        <v>0.66349999999999998</v>
      </c>
      <c r="L19" s="2">
        <v>0.91400000000000003</v>
      </c>
      <c r="M19" s="2">
        <v>1.8280000000000001</v>
      </c>
      <c r="N19" s="7">
        <v>3629.6498905908093</v>
      </c>
      <c r="O19" s="3" t="s">
        <v>41</v>
      </c>
      <c r="P19" s="3" t="s">
        <v>41</v>
      </c>
      <c r="Q19" s="3" t="s">
        <v>41</v>
      </c>
      <c r="R19" s="3" t="s">
        <v>41</v>
      </c>
      <c r="S19" s="14" t="s">
        <v>41</v>
      </c>
      <c r="T19" s="11" t="s">
        <v>41</v>
      </c>
      <c r="U19" s="3">
        <v>0.3962321024868124</v>
      </c>
      <c r="V19" s="9">
        <v>1438.1838074398249</v>
      </c>
      <c r="W19" s="7">
        <v>1438.1838074398249</v>
      </c>
      <c r="X19" s="14">
        <v>0.3962321024868124</v>
      </c>
      <c r="Y19" s="3" t="s">
        <v>41</v>
      </c>
      <c r="Z19" s="3" t="s">
        <v>41</v>
      </c>
      <c r="AA19" s="3">
        <f t="shared" si="0"/>
        <v>24.630964058452175</v>
      </c>
    </row>
    <row r="20" spans="1:27" x14ac:dyDescent="0.25">
      <c r="A20" s="2">
        <v>4</v>
      </c>
      <c r="B20" s="2" t="s">
        <v>5</v>
      </c>
      <c r="C20" s="2" t="s">
        <v>1</v>
      </c>
      <c r="D20" s="2">
        <v>2</v>
      </c>
      <c r="E20" s="2">
        <v>18</v>
      </c>
      <c r="F20" s="2">
        <v>274</v>
      </c>
      <c r="G20" s="2" t="s">
        <v>2</v>
      </c>
      <c r="H20" s="2">
        <v>371000</v>
      </c>
      <c r="I20" s="5">
        <v>9.7189999999999999E-2</v>
      </c>
      <c r="J20" s="2">
        <v>0.63749999999999996</v>
      </c>
      <c r="K20" s="2">
        <v>0.73468999999999995</v>
      </c>
      <c r="L20" s="2">
        <v>0.91400000000000003</v>
      </c>
      <c r="M20" s="2">
        <v>1.8280000000000001</v>
      </c>
      <c r="N20" s="7">
        <v>4019.0919037199119</v>
      </c>
      <c r="O20" s="3">
        <v>0</v>
      </c>
      <c r="P20" s="3">
        <v>0</v>
      </c>
      <c r="Q20" s="3">
        <v>1194.6863370559549</v>
      </c>
      <c r="R20" s="3">
        <v>2824.4055666639574</v>
      </c>
      <c r="S20" s="14">
        <v>0.48976232122646363</v>
      </c>
      <c r="T20" s="11">
        <v>1968.3997799883507</v>
      </c>
      <c r="U20" s="3">
        <v>0.4084705882352942</v>
      </c>
      <c r="V20" s="9">
        <v>1641.6808340841808</v>
      </c>
      <c r="W20" s="7">
        <v>1684.9015317286651</v>
      </c>
      <c r="X20" s="14">
        <v>0.4192244347956281</v>
      </c>
      <c r="Y20" s="3">
        <v>66.294000000000011</v>
      </c>
      <c r="Z20" s="3">
        <v>17.2</v>
      </c>
      <c r="AA20" s="3">
        <f t="shared" si="0"/>
        <v>28.856359566387482</v>
      </c>
    </row>
    <row r="21" spans="1:27" x14ac:dyDescent="0.25">
      <c r="A21" s="2">
        <v>4</v>
      </c>
      <c r="B21" s="2" t="s">
        <v>6</v>
      </c>
      <c r="C21" s="2" t="s">
        <v>1</v>
      </c>
      <c r="D21" s="2">
        <v>2</v>
      </c>
      <c r="E21" s="2">
        <v>19</v>
      </c>
      <c r="F21" s="2">
        <v>274</v>
      </c>
      <c r="G21" s="2" t="s">
        <v>2</v>
      </c>
      <c r="H21" s="2">
        <v>371000</v>
      </c>
      <c r="I21" s="5">
        <v>8.9189999999999992E-2</v>
      </c>
      <c r="J21" s="2">
        <v>0.57250000000000001</v>
      </c>
      <c r="K21" s="2">
        <v>0.66169</v>
      </c>
      <c r="L21" s="2">
        <v>0.91400000000000003</v>
      </c>
      <c r="M21" s="2">
        <v>1.8280000000000001</v>
      </c>
      <c r="N21" s="7">
        <v>3619.748358862144</v>
      </c>
      <c r="O21" s="3">
        <v>0</v>
      </c>
      <c r="P21" s="3">
        <v>0</v>
      </c>
      <c r="Q21" s="3">
        <v>847.8141407851798</v>
      </c>
      <c r="R21" s="3">
        <v>2771.9342180769645</v>
      </c>
      <c r="S21" s="14">
        <v>0.53257091602197559</v>
      </c>
      <c r="T21" s="11">
        <v>1927.7726992482549</v>
      </c>
      <c r="U21" s="3">
        <v>0.46375545851528388</v>
      </c>
      <c r="V21" s="9">
        <v>1678.67805987406</v>
      </c>
      <c r="W21" s="7">
        <v>1712.253829321663</v>
      </c>
      <c r="X21" s="14">
        <v>0.47303117774184295</v>
      </c>
      <c r="Y21" s="3">
        <v>61.722000000000001</v>
      </c>
      <c r="Z21" s="3">
        <v>16.399999999999999</v>
      </c>
      <c r="AA21" s="3">
        <f t="shared" si="0"/>
        <v>29.324806961945722</v>
      </c>
    </row>
    <row r="22" spans="1:27" x14ac:dyDescent="0.25">
      <c r="A22" s="2">
        <v>4</v>
      </c>
      <c r="B22" s="2" t="s">
        <v>12</v>
      </c>
      <c r="C22" s="2" t="s">
        <v>1</v>
      </c>
      <c r="D22" s="2">
        <v>2</v>
      </c>
      <c r="E22" s="2">
        <v>20</v>
      </c>
      <c r="F22" s="2">
        <v>270</v>
      </c>
      <c r="G22" s="2" t="s">
        <v>2</v>
      </c>
      <c r="H22" s="2">
        <v>371000</v>
      </c>
      <c r="I22" s="5">
        <v>8.3790000000000003E-2</v>
      </c>
      <c r="J22" s="2">
        <v>0.33050000000000002</v>
      </c>
      <c r="K22" s="2">
        <v>0.41429000000000005</v>
      </c>
      <c r="L22" s="2">
        <v>0.91400000000000003</v>
      </c>
      <c r="M22" s="2">
        <v>1.8280000000000001</v>
      </c>
      <c r="N22" s="7">
        <v>2266.3566739606131</v>
      </c>
      <c r="O22" s="3">
        <v>0</v>
      </c>
      <c r="P22" s="3">
        <v>16.228834041966479</v>
      </c>
      <c r="Q22" s="3">
        <v>754.37030238407328</v>
      </c>
      <c r="R22" s="3">
        <v>1495.7575375345732</v>
      </c>
      <c r="S22" s="14">
        <v>0.37474638978398378</v>
      </c>
      <c r="T22" s="11">
        <v>849.30898152957695</v>
      </c>
      <c r="U22" s="3">
        <v>0.4</v>
      </c>
      <c r="V22" s="9">
        <v>906.54266958424523</v>
      </c>
      <c r="W22" s="7">
        <v>894.96717724288851</v>
      </c>
      <c r="X22" s="14">
        <v>0.39489246662965555</v>
      </c>
      <c r="Y22" s="3">
        <v>40.386000000000003</v>
      </c>
      <c r="Z22" s="3">
        <v>15.2</v>
      </c>
      <c r="AA22" s="3">
        <f t="shared" si="0"/>
        <v>15.327598782665563</v>
      </c>
    </row>
    <row r="23" spans="1:27" x14ac:dyDescent="0.25">
      <c r="A23" s="2">
        <v>4</v>
      </c>
      <c r="B23" s="2" t="s">
        <v>0</v>
      </c>
      <c r="C23" s="2" t="s">
        <v>1</v>
      </c>
      <c r="D23" s="2">
        <v>2</v>
      </c>
      <c r="E23" s="2">
        <v>21</v>
      </c>
      <c r="F23" s="2">
        <v>284</v>
      </c>
      <c r="G23" s="2" t="s">
        <v>2</v>
      </c>
      <c r="H23" s="2">
        <v>371000</v>
      </c>
      <c r="I23" s="5">
        <v>0.11019</v>
      </c>
      <c r="J23" s="2">
        <v>0.42949999999999999</v>
      </c>
      <c r="K23" s="2">
        <v>0.53969</v>
      </c>
      <c r="L23" s="2">
        <v>0.91400000000000003</v>
      </c>
      <c r="M23" s="2">
        <v>1.8280000000000001</v>
      </c>
      <c r="N23" s="7">
        <v>2952.3522975929973</v>
      </c>
      <c r="O23" s="3">
        <v>0</v>
      </c>
      <c r="P23" s="3">
        <v>0</v>
      </c>
      <c r="Q23" s="3">
        <v>479.3319049272958</v>
      </c>
      <c r="R23" s="3">
        <v>2473.0203926657014</v>
      </c>
      <c r="S23" s="14">
        <v>0.59624285325347137</v>
      </c>
      <c r="T23" s="11">
        <v>1760.3189577262906</v>
      </c>
      <c r="U23" s="3">
        <v>0.4558789289871944</v>
      </c>
      <c r="V23" s="9">
        <v>1345.9152034195781</v>
      </c>
      <c r="W23" s="7">
        <v>1430.5251641137854</v>
      </c>
      <c r="X23" s="14">
        <v>0.48453741962978752</v>
      </c>
      <c r="Y23" s="3">
        <v>42.417999999999999</v>
      </c>
      <c r="Z23" s="3">
        <v>15</v>
      </c>
      <c r="AA23" s="3">
        <f t="shared" si="0"/>
        <v>24.499798787695866</v>
      </c>
    </row>
    <row r="24" spans="1:27" x14ac:dyDescent="0.25">
      <c r="A24" s="2">
        <v>4</v>
      </c>
      <c r="B24" s="2" t="s">
        <v>13</v>
      </c>
      <c r="C24" s="2" t="s">
        <v>1</v>
      </c>
      <c r="D24" s="2">
        <v>2</v>
      </c>
      <c r="E24" s="2">
        <v>22</v>
      </c>
      <c r="F24" s="2">
        <v>270</v>
      </c>
      <c r="G24" s="2" t="s">
        <v>2</v>
      </c>
      <c r="H24" s="2">
        <v>371000</v>
      </c>
      <c r="I24" s="5" t="s">
        <v>41</v>
      </c>
      <c r="J24" s="2">
        <v>0.67949999999999999</v>
      </c>
      <c r="K24" s="2">
        <v>0.67949999999999999</v>
      </c>
      <c r="L24" s="2">
        <v>0.91400000000000003</v>
      </c>
      <c r="M24" s="2">
        <v>1.8280000000000001</v>
      </c>
      <c r="N24" s="7">
        <v>3717.1772428884024</v>
      </c>
      <c r="O24" s="3" t="s">
        <v>41</v>
      </c>
      <c r="P24" s="3" t="s">
        <v>41</v>
      </c>
      <c r="Q24" s="3" t="s">
        <v>41</v>
      </c>
      <c r="R24" s="3" t="s">
        <v>41</v>
      </c>
      <c r="S24" s="14" t="s">
        <v>41</v>
      </c>
      <c r="T24" s="11" t="s">
        <v>41</v>
      </c>
      <c r="U24" s="3">
        <v>0.48756438557763065</v>
      </c>
      <c r="V24" s="9">
        <v>1812.363238512035</v>
      </c>
      <c r="W24" s="7">
        <v>1812.3632385120352</v>
      </c>
      <c r="X24" s="14">
        <v>0.48756438557763071</v>
      </c>
      <c r="Y24" s="3" t="s">
        <v>41</v>
      </c>
      <c r="Z24" s="3" t="s">
        <v>41</v>
      </c>
      <c r="AA24" s="3">
        <f t="shared" si="0"/>
        <v>31.039324429688875</v>
      </c>
    </row>
    <row r="25" spans="1:27" x14ac:dyDescent="0.25">
      <c r="A25" s="2">
        <v>4</v>
      </c>
      <c r="B25" s="2" t="s">
        <v>7</v>
      </c>
      <c r="C25" s="2" t="s">
        <v>1</v>
      </c>
      <c r="D25" s="2">
        <v>2</v>
      </c>
      <c r="E25" s="2">
        <v>23</v>
      </c>
      <c r="F25" s="2">
        <v>284</v>
      </c>
      <c r="G25" s="2" t="s">
        <v>2</v>
      </c>
      <c r="H25" s="2">
        <v>371000</v>
      </c>
      <c r="I25" s="5" t="s">
        <v>41</v>
      </c>
      <c r="J25" s="2">
        <v>0.69650000000000001</v>
      </c>
      <c r="K25" s="2">
        <v>0.69650000000000001</v>
      </c>
      <c r="L25" s="2">
        <v>0.91400000000000003</v>
      </c>
      <c r="M25" s="2">
        <v>1.8280000000000001</v>
      </c>
      <c r="N25" s="7">
        <v>3810.1750547045949</v>
      </c>
      <c r="O25" s="3" t="s">
        <v>41</v>
      </c>
      <c r="P25" s="3" t="s">
        <v>41</v>
      </c>
      <c r="Q25" s="3" t="s">
        <v>41</v>
      </c>
      <c r="R25" s="3" t="s">
        <v>41</v>
      </c>
      <c r="S25" s="14" t="s">
        <v>41</v>
      </c>
      <c r="T25" s="11" t="s">
        <v>41</v>
      </c>
      <c r="U25" s="3">
        <v>0.47307968413496054</v>
      </c>
      <c r="V25" s="9">
        <v>1802.5164113785559</v>
      </c>
      <c r="W25" s="7">
        <v>1802.5164113785556</v>
      </c>
      <c r="X25" s="14">
        <v>0.47307968413496049</v>
      </c>
      <c r="Y25" s="3" t="s">
        <v>41</v>
      </c>
      <c r="Z25" s="3" t="s">
        <v>41</v>
      </c>
      <c r="AA25" s="3">
        <f t="shared" si="0"/>
        <v>30.870683367287906</v>
      </c>
    </row>
    <row r="26" spans="1:27" x14ac:dyDescent="0.25">
      <c r="A26" s="2">
        <v>4</v>
      </c>
      <c r="B26" s="2" t="s">
        <v>4</v>
      </c>
      <c r="C26" s="2" t="s">
        <v>1</v>
      </c>
      <c r="D26" s="2">
        <v>2</v>
      </c>
      <c r="E26" s="2">
        <v>24</v>
      </c>
      <c r="F26" s="2">
        <v>284</v>
      </c>
      <c r="G26" s="2" t="s">
        <v>2</v>
      </c>
      <c r="H26" s="2">
        <v>371000</v>
      </c>
      <c r="I26" s="5">
        <v>0.13479000000000002</v>
      </c>
      <c r="J26" s="2">
        <v>0.49049999999999999</v>
      </c>
      <c r="K26" s="2">
        <v>0.62529000000000001</v>
      </c>
      <c r="L26" s="2">
        <v>0.91400000000000003</v>
      </c>
      <c r="M26" s="2">
        <v>1.8280000000000001</v>
      </c>
      <c r="N26" s="7">
        <v>3420.6236323851203</v>
      </c>
      <c r="O26" s="3">
        <v>0</v>
      </c>
      <c r="P26" s="3">
        <v>65.981314965511672</v>
      </c>
      <c r="Q26" s="3">
        <v>860.04106314661112</v>
      </c>
      <c r="R26" s="3">
        <v>2494.6012542729968</v>
      </c>
      <c r="S26" s="14">
        <v>0.48965056754952141</v>
      </c>
      <c r="T26" s="11">
        <v>1674.9103029706796</v>
      </c>
      <c r="U26" s="3">
        <v>0.46687054026503572</v>
      </c>
      <c r="V26" s="9">
        <v>1596.9884032949901</v>
      </c>
      <c r="W26" s="7">
        <v>1613.785557986871</v>
      </c>
      <c r="X26" s="14">
        <v>0.47178109357258236</v>
      </c>
      <c r="Y26" s="3">
        <v>51.815999999999995</v>
      </c>
      <c r="Z26" s="3">
        <v>13.4</v>
      </c>
      <c r="AA26" s="3">
        <f t="shared" si="0"/>
        <v>27.638396337936069</v>
      </c>
    </row>
    <row r="27" spans="1:27" x14ac:dyDescent="0.25">
      <c r="A27" s="2">
        <v>4</v>
      </c>
      <c r="B27" s="2" t="s">
        <v>3</v>
      </c>
      <c r="C27" s="2" t="s">
        <v>1</v>
      </c>
      <c r="D27" s="2">
        <v>3</v>
      </c>
      <c r="E27" s="2">
        <v>25</v>
      </c>
      <c r="F27" s="2">
        <v>274</v>
      </c>
      <c r="G27" s="2" t="s">
        <v>2</v>
      </c>
      <c r="H27" s="2">
        <v>371000</v>
      </c>
      <c r="I27" s="5">
        <v>0.12018999999999999</v>
      </c>
      <c r="J27" s="2">
        <v>0.5575</v>
      </c>
      <c r="K27" s="2">
        <v>0.67769000000000001</v>
      </c>
      <c r="L27" s="2">
        <v>0.91400000000000003</v>
      </c>
      <c r="M27" s="2">
        <v>1.8280000000000001</v>
      </c>
      <c r="N27" s="7">
        <v>3707.2757111597375</v>
      </c>
      <c r="O27" s="3">
        <v>0</v>
      </c>
      <c r="P27" s="3">
        <v>0</v>
      </c>
      <c r="Q27" s="3">
        <v>736.89006356274353</v>
      </c>
      <c r="R27" s="3">
        <v>2970.3856475969942</v>
      </c>
      <c r="S27" s="14">
        <v>0.52916215991347026</v>
      </c>
      <c r="T27" s="11">
        <v>1961.7500227120331</v>
      </c>
      <c r="U27" s="3">
        <v>0.47497757847533639</v>
      </c>
      <c r="V27" s="9">
        <v>1760.8728400270827</v>
      </c>
      <c r="W27" s="7">
        <v>1796.4989059080965</v>
      </c>
      <c r="X27" s="14">
        <v>0.4845873481975535</v>
      </c>
      <c r="Y27" s="3">
        <v>50.8</v>
      </c>
      <c r="Z27" s="3">
        <v>16.600000000000001</v>
      </c>
      <c r="AA27" s="3">
        <f t="shared" si="0"/>
        <v>30.767624940265101</v>
      </c>
    </row>
    <row r="28" spans="1:27" x14ac:dyDescent="0.25">
      <c r="A28" s="2">
        <v>4</v>
      </c>
      <c r="B28" s="2" t="s">
        <v>0</v>
      </c>
      <c r="C28" s="2" t="s">
        <v>1</v>
      </c>
      <c r="D28" s="2">
        <v>3</v>
      </c>
      <c r="E28" s="2">
        <v>26</v>
      </c>
      <c r="F28" s="2">
        <v>284</v>
      </c>
      <c r="G28" s="2" t="s">
        <v>2</v>
      </c>
      <c r="H28" s="2">
        <v>371000</v>
      </c>
      <c r="I28" s="5">
        <v>8.2189999999999999E-2</v>
      </c>
      <c r="J28" s="2">
        <v>0.57350000000000001</v>
      </c>
      <c r="K28" s="2">
        <v>0.65569</v>
      </c>
      <c r="L28" s="2">
        <v>0.91400000000000003</v>
      </c>
      <c r="M28" s="2">
        <v>1.8280000000000001</v>
      </c>
      <c r="N28" s="7">
        <v>3586.9256017505468</v>
      </c>
      <c r="O28" s="3">
        <v>0</v>
      </c>
      <c r="P28" s="3">
        <v>0</v>
      </c>
      <c r="Q28" s="3">
        <v>693.46937354685713</v>
      </c>
      <c r="R28" s="3">
        <v>2893.4562282036895</v>
      </c>
      <c r="S28" s="14">
        <v>0.51587784401995385</v>
      </c>
      <c r="T28" s="11">
        <v>1850.4154460910477</v>
      </c>
      <c r="U28" s="3">
        <v>0.44777680906713169</v>
      </c>
      <c r="V28" s="9">
        <v>1606.1421003130611</v>
      </c>
      <c r="W28" s="7">
        <v>1636.7614879649891</v>
      </c>
      <c r="X28" s="14">
        <v>0.45631319678506616</v>
      </c>
      <c r="Y28" s="3">
        <v>51.562000000000005</v>
      </c>
      <c r="Z28" s="3">
        <v>14</v>
      </c>
      <c r="AA28" s="3">
        <f t="shared" si="0"/>
        <v>28.031892150204985</v>
      </c>
    </row>
    <row r="29" spans="1:27" x14ac:dyDescent="0.25">
      <c r="A29" s="2">
        <v>4</v>
      </c>
      <c r="B29" s="2" t="s">
        <v>9</v>
      </c>
      <c r="C29" s="2" t="s">
        <v>1</v>
      </c>
      <c r="D29" s="2">
        <v>3</v>
      </c>
      <c r="E29" s="2">
        <v>27</v>
      </c>
      <c r="F29" s="2">
        <v>284</v>
      </c>
      <c r="G29" s="2" t="s">
        <v>2</v>
      </c>
      <c r="H29" s="2">
        <v>371000</v>
      </c>
      <c r="I29" s="5" t="s">
        <v>41</v>
      </c>
      <c r="J29" s="2">
        <v>0.57650000000000001</v>
      </c>
      <c r="K29" s="2">
        <v>0.57650000000000001</v>
      </c>
      <c r="L29" s="2">
        <v>0.91400000000000003</v>
      </c>
      <c r="M29" s="2">
        <v>1.8280000000000001</v>
      </c>
      <c r="N29" s="7">
        <v>3153.7199124726476</v>
      </c>
      <c r="O29" s="3" t="s">
        <v>41</v>
      </c>
      <c r="P29" s="3" t="s">
        <v>41</v>
      </c>
      <c r="Q29" s="3" t="s">
        <v>41</v>
      </c>
      <c r="R29" s="3" t="s">
        <v>41</v>
      </c>
      <c r="S29" s="14" t="s">
        <v>41</v>
      </c>
      <c r="T29" s="11" t="s">
        <v>41</v>
      </c>
      <c r="U29" s="3">
        <v>0.45741543798785772</v>
      </c>
      <c r="V29" s="9">
        <v>1442.5601750547044</v>
      </c>
      <c r="W29" s="7">
        <v>1442.5601750547046</v>
      </c>
      <c r="X29" s="14">
        <v>0.45741543798785778</v>
      </c>
      <c r="Y29" s="3" t="s">
        <v>41</v>
      </c>
      <c r="Z29" s="3" t="s">
        <v>41</v>
      </c>
      <c r="AA29" s="3">
        <f t="shared" si="0"/>
        <v>24.705915641741491</v>
      </c>
    </row>
    <row r="30" spans="1:27" x14ac:dyDescent="0.25">
      <c r="A30" s="2">
        <v>4</v>
      </c>
      <c r="B30" s="2" t="s">
        <v>10</v>
      </c>
      <c r="C30" s="2" t="s">
        <v>1</v>
      </c>
      <c r="D30" s="2">
        <v>3</v>
      </c>
      <c r="E30" s="2">
        <v>28</v>
      </c>
      <c r="F30" s="2">
        <v>270</v>
      </c>
      <c r="G30" s="2" t="s">
        <v>2</v>
      </c>
      <c r="H30" s="2">
        <v>371000</v>
      </c>
      <c r="I30" s="5">
        <v>0.25779000000000002</v>
      </c>
      <c r="J30" s="2">
        <v>0.52649999999999997</v>
      </c>
      <c r="K30" s="2">
        <v>0.78428999999999993</v>
      </c>
      <c r="L30" s="2">
        <v>0.91400000000000003</v>
      </c>
      <c r="M30" s="2">
        <v>1.8280000000000001</v>
      </c>
      <c r="N30" s="7">
        <v>4290.4266958424505</v>
      </c>
      <c r="O30" s="3">
        <v>0</v>
      </c>
      <c r="P30" s="3">
        <v>43.272079635324786</v>
      </c>
      <c r="Q30" s="3">
        <v>913.54017353191387</v>
      </c>
      <c r="R30" s="3">
        <v>3333.6144426752116</v>
      </c>
      <c r="S30" s="14">
        <v>0.46122813142480307</v>
      </c>
      <c r="T30" s="11">
        <v>1978.8654879385053</v>
      </c>
      <c r="U30" s="3">
        <v>0.37720797720797727</v>
      </c>
      <c r="V30" s="9">
        <v>1618.3831752978363</v>
      </c>
      <c r="W30" s="7">
        <v>1736.870897155361</v>
      </c>
      <c r="X30" s="14">
        <v>0.40482474594856499</v>
      </c>
      <c r="Y30" s="3">
        <v>38.353999999999999</v>
      </c>
      <c r="Z30" s="3">
        <v>13.8</v>
      </c>
      <c r="AA30" s="3">
        <f t="shared" si="0"/>
        <v>29.746409617948135</v>
      </c>
    </row>
    <row r="31" spans="1:27" x14ac:dyDescent="0.25">
      <c r="A31" s="2">
        <v>4</v>
      </c>
      <c r="B31" s="2" t="s">
        <v>13</v>
      </c>
      <c r="C31" s="2" t="s">
        <v>1</v>
      </c>
      <c r="D31" s="2">
        <v>3</v>
      </c>
      <c r="E31" s="2">
        <v>29</v>
      </c>
      <c r="F31" s="2">
        <v>270</v>
      </c>
      <c r="G31" s="2" t="s">
        <v>2</v>
      </c>
      <c r="H31" s="2">
        <v>371000</v>
      </c>
      <c r="I31" s="5" t="s">
        <v>41</v>
      </c>
      <c r="J31" s="2">
        <v>0.67049999999999998</v>
      </c>
      <c r="K31" s="2">
        <v>0.67049999999999998</v>
      </c>
      <c r="L31" s="2">
        <v>0.91400000000000003</v>
      </c>
      <c r="M31" s="2">
        <v>1.8280000000000001</v>
      </c>
      <c r="N31" s="7">
        <v>3667.9431072210064</v>
      </c>
      <c r="O31" s="3" t="s">
        <v>41</v>
      </c>
      <c r="P31" s="3" t="s">
        <v>41</v>
      </c>
      <c r="Q31" s="3" t="s">
        <v>41</v>
      </c>
      <c r="R31" s="3" t="s">
        <v>41</v>
      </c>
      <c r="S31" s="14" t="s">
        <v>41</v>
      </c>
      <c r="T31" s="11" t="s">
        <v>41</v>
      </c>
      <c r="U31" s="3">
        <v>0.45831469052945567</v>
      </c>
      <c r="V31" s="9">
        <v>1681.0722100656455</v>
      </c>
      <c r="W31" s="7">
        <v>1681.0722100656455</v>
      </c>
      <c r="X31" s="14">
        <v>0.45831469052945567</v>
      </c>
      <c r="Y31" s="3" t="s">
        <v>41</v>
      </c>
      <c r="Z31" s="3" t="s">
        <v>41</v>
      </c>
      <c r="AA31" s="3">
        <f t="shared" si="0"/>
        <v>28.790776931009333</v>
      </c>
    </row>
    <row r="32" spans="1:27" x14ac:dyDescent="0.25">
      <c r="A32" s="2">
        <v>4</v>
      </c>
      <c r="B32" s="2" t="s">
        <v>12</v>
      </c>
      <c r="C32" s="2" t="s">
        <v>1</v>
      </c>
      <c r="D32" s="2">
        <v>3</v>
      </c>
      <c r="E32" s="2">
        <v>30</v>
      </c>
      <c r="F32" s="2">
        <v>270</v>
      </c>
      <c r="G32" s="2" t="s">
        <v>2</v>
      </c>
      <c r="H32" s="2">
        <v>371000</v>
      </c>
      <c r="I32" s="5">
        <v>0.13979</v>
      </c>
      <c r="J32" s="2">
        <v>0.40649999999999997</v>
      </c>
      <c r="K32" s="2">
        <v>0.54628999999999994</v>
      </c>
      <c r="L32" s="2">
        <v>0.91400000000000003</v>
      </c>
      <c r="M32" s="2">
        <v>1.8280000000000001</v>
      </c>
      <c r="N32" s="7">
        <v>2988.4573304157548</v>
      </c>
      <c r="O32" s="3">
        <v>0</v>
      </c>
      <c r="P32" s="3">
        <v>205.23063432285034</v>
      </c>
      <c r="Q32" s="3">
        <v>724.50689554181236</v>
      </c>
      <c r="R32" s="3">
        <v>2058.7198005510922</v>
      </c>
      <c r="S32" s="14">
        <v>0.42492309893411545</v>
      </c>
      <c r="T32" s="11">
        <v>1269.8645498726364</v>
      </c>
      <c r="U32" s="3">
        <v>0.37367773677736782</v>
      </c>
      <c r="V32" s="9">
        <v>1116.7199716854936</v>
      </c>
      <c r="W32" s="7">
        <v>1155.9080962800874</v>
      </c>
      <c r="X32" s="14">
        <v>0.38679089860696697</v>
      </c>
      <c r="Y32" s="3">
        <v>39.116</v>
      </c>
      <c r="Z32" s="3">
        <v>12.6</v>
      </c>
      <c r="AA32" s="3">
        <f t="shared" si="0"/>
        <v>19.796586936291153</v>
      </c>
    </row>
    <row r="33" spans="1:27" x14ac:dyDescent="0.25">
      <c r="A33" s="2">
        <v>4</v>
      </c>
      <c r="B33" s="2" t="s">
        <v>11</v>
      </c>
      <c r="C33" s="2" t="s">
        <v>1</v>
      </c>
      <c r="D33" s="2">
        <v>3</v>
      </c>
      <c r="E33" s="2">
        <v>31</v>
      </c>
      <c r="F33" s="2">
        <v>270</v>
      </c>
      <c r="G33" s="2" t="s">
        <v>2</v>
      </c>
      <c r="H33" s="2">
        <v>371000</v>
      </c>
      <c r="I33" s="5">
        <v>0.10779</v>
      </c>
      <c r="J33" s="2">
        <v>0.30349999999999999</v>
      </c>
      <c r="K33" s="2">
        <v>0.41128999999999999</v>
      </c>
      <c r="L33" s="2">
        <v>0.91400000000000003</v>
      </c>
      <c r="M33" s="2">
        <v>1.8280000000000001</v>
      </c>
      <c r="N33" s="7">
        <v>2249.9452954048138</v>
      </c>
      <c r="O33" s="3">
        <v>0</v>
      </c>
      <c r="P33" s="3">
        <v>12.524048401919396</v>
      </c>
      <c r="Q33" s="3">
        <v>728.27341457161106</v>
      </c>
      <c r="R33" s="3">
        <v>1509.1478324312836</v>
      </c>
      <c r="S33" s="14">
        <v>0.34047685314036558</v>
      </c>
      <c r="T33" s="11">
        <v>766.0542939174012</v>
      </c>
      <c r="U33" s="3">
        <v>0.29555189456342668</v>
      </c>
      <c r="V33" s="9">
        <v>664.97559472096145</v>
      </c>
      <c r="W33" s="7">
        <v>691.46608315098479</v>
      </c>
      <c r="X33" s="14">
        <v>0.30732573123586771</v>
      </c>
      <c r="Y33" s="3">
        <v>59.436</v>
      </c>
      <c r="Z33" s="3">
        <v>16.2</v>
      </c>
      <c r="AA33" s="3">
        <f t="shared" si="0"/>
        <v>11.84235015971227</v>
      </c>
    </row>
    <row r="34" spans="1:27" x14ac:dyDescent="0.25">
      <c r="A34" s="2">
        <v>4</v>
      </c>
      <c r="B34" s="2" t="s">
        <v>4</v>
      </c>
      <c r="C34" s="2" t="s">
        <v>1</v>
      </c>
      <c r="D34" s="2">
        <v>3</v>
      </c>
      <c r="E34" s="2">
        <v>32</v>
      </c>
      <c r="F34" s="2">
        <v>284</v>
      </c>
      <c r="G34" s="2" t="s">
        <v>2</v>
      </c>
      <c r="H34" s="2">
        <v>371000</v>
      </c>
      <c r="I34" s="5">
        <v>0.12719</v>
      </c>
      <c r="J34" s="2">
        <v>0.47749999999999998</v>
      </c>
      <c r="K34" s="2">
        <v>0.60468999999999995</v>
      </c>
      <c r="L34" s="2">
        <v>0.91400000000000003</v>
      </c>
      <c r="M34" s="2">
        <v>1.8280000000000001</v>
      </c>
      <c r="N34" s="7">
        <v>3307.9321663019691</v>
      </c>
      <c r="O34" s="3">
        <v>0</v>
      </c>
      <c r="P34" s="3">
        <v>0</v>
      </c>
      <c r="Q34" s="3">
        <v>803.38096247399812</v>
      </c>
      <c r="R34" s="3">
        <v>2504.5512038279708</v>
      </c>
      <c r="S34" s="14">
        <v>0.49217705794480693</v>
      </c>
      <c r="T34" s="11">
        <v>1628.088321491495</v>
      </c>
      <c r="U34" s="3">
        <v>0.46157068062827228</v>
      </c>
      <c r="V34" s="9">
        <v>1526.8445014721551</v>
      </c>
      <c r="W34" s="7">
        <v>1548.1400437636764</v>
      </c>
      <c r="X34" s="14">
        <v>0.46800840099885904</v>
      </c>
      <c r="Y34" s="3">
        <v>46.99</v>
      </c>
      <c r="Z34" s="3">
        <v>14</v>
      </c>
      <c r="AA34" s="3">
        <f t="shared" si="0"/>
        <v>26.514122588596297</v>
      </c>
    </row>
    <row r="35" spans="1:27" x14ac:dyDescent="0.25">
      <c r="A35" s="2">
        <v>4</v>
      </c>
      <c r="B35" s="2" t="s">
        <v>5</v>
      </c>
      <c r="C35" s="2" t="s">
        <v>1</v>
      </c>
      <c r="D35" s="2">
        <v>3</v>
      </c>
      <c r="E35" s="2">
        <v>33</v>
      </c>
      <c r="F35" s="2">
        <v>274</v>
      </c>
      <c r="G35" s="2" t="s">
        <v>2</v>
      </c>
      <c r="H35" s="2">
        <v>371000</v>
      </c>
      <c r="I35" s="5">
        <v>0.10518999999999999</v>
      </c>
      <c r="J35" s="2">
        <v>0.82750000000000001</v>
      </c>
      <c r="K35" s="2">
        <v>0.93269000000000002</v>
      </c>
      <c r="L35" s="2">
        <v>0.91400000000000003</v>
      </c>
      <c r="M35" s="2">
        <v>1.8280000000000001</v>
      </c>
      <c r="N35" s="7">
        <v>5102.2428884026258</v>
      </c>
      <c r="O35" s="3">
        <v>0</v>
      </c>
      <c r="P35" s="3">
        <v>0</v>
      </c>
      <c r="Q35" s="3">
        <v>1352.8049639466608</v>
      </c>
      <c r="R35" s="3">
        <v>3749.4379244559655</v>
      </c>
      <c r="S35" s="14">
        <v>0.53046867572963208</v>
      </c>
      <c r="T35" s="11">
        <v>2706.5800282618738</v>
      </c>
      <c r="U35" s="3">
        <v>0.47359516616314201</v>
      </c>
      <c r="V35" s="9">
        <v>2416.3975685377513</v>
      </c>
      <c r="W35" s="7">
        <v>2449.1247264770241</v>
      </c>
      <c r="X35" s="14">
        <v>0.48000943507489091</v>
      </c>
      <c r="Y35" s="3">
        <v>66.294000000000011</v>
      </c>
      <c r="Z35" s="3">
        <v>17.8</v>
      </c>
      <c r="AA35" s="3">
        <f t="shared" si="0"/>
        <v>41.944779798284664</v>
      </c>
    </row>
    <row r="36" spans="1:27" x14ac:dyDescent="0.25">
      <c r="A36" s="2">
        <v>4</v>
      </c>
      <c r="B36" s="2" t="s">
        <v>7</v>
      </c>
      <c r="C36" s="2" t="s">
        <v>1</v>
      </c>
      <c r="D36" s="2">
        <v>3</v>
      </c>
      <c r="E36" s="2">
        <v>34</v>
      </c>
      <c r="F36" s="2">
        <v>284</v>
      </c>
      <c r="G36" s="2" t="s">
        <v>2</v>
      </c>
      <c r="H36" s="2">
        <v>371000</v>
      </c>
      <c r="I36" s="5" t="s">
        <v>41</v>
      </c>
      <c r="J36" s="2">
        <v>0.6915</v>
      </c>
      <c r="K36" s="2">
        <v>0.6915</v>
      </c>
      <c r="L36" s="2">
        <v>0.91400000000000003</v>
      </c>
      <c r="M36" s="2">
        <v>1.8280000000000001</v>
      </c>
      <c r="N36" s="7">
        <v>3782.8227571115972</v>
      </c>
      <c r="O36" s="3" t="s">
        <v>41</v>
      </c>
      <c r="P36" s="3" t="s">
        <v>41</v>
      </c>
      <c r="Q36" s="3" t="s">
        <v>41</v>
      </c>
      <c r="R36" s="3" t="s">
        <v>41</v>
      </c>
      <c r="S36" s="14" t="s">
        <v>41</v>
      </c>
      <c r="T36" s="11" t="s">
        <v>41</v>
      </c>
      <c r="U36" s="3">
        <v>0.50672451193058576</v>
      </c>
      <c r="V36" s="9">
        <v>1916.8490153172868</v>
      </c>
      <c r="W36" s="7">
        <v>1916.8490153172868</v>
      </c>
      <c r="X36" s="14">
        <v>0.50672451193058576</v>
      </c>
      <c r="Y36" s="3" t="s">
        <v>41</v>
      </c>
      <c r="Z36" s="3" t="s">
        <v>41</v>
      </c>
      <c r="AA36" s="3">
        <f t="shared" si="0"/>
        <v>32.828793480721352</v>
      </c>
    </row>
    <row r="37" spans="1:27" x14ac:dyDescent="0.25">
      <c r="A37" s="2">
        <v>4</v>
      </c>
      <c r="B37" s="2" t="s">
        <v>6</v>
      </c>
      <c r="C37" s="2" t="s">
        <v>1</v>
      </c>
      <c r="D37" s="2">
        <v>3</v>
      </c>
      <c r="E37" s="2">
        <v>35</v>
      </c>
      <c r="F37" s="2">
        <v>274</v>
      </c>
      <c r="G37" s="2" t="s">
        <v>2</v>
      </c>
      <c r="H37" s="2">
        <v>371000</v>
      </c>
      <c r="I37" s="5">
        <v>0.19419000000000003</v>
      </c>
      <c r="J37" s="2">
        <v>0.6845</v>
      </c>
      <c r="K37" s="2">
        <v>0.87868999999999997</v>
      </c>
      <c r="L37" s="2">
        <v>0.91400000000000003</v>
      </c>
      <c r="M37" s="2">
        <v>1.8280000000000001</v>
      </c>
      <c r="N37" s="7">
        <v>4806.8380743982489</v>
      </c>
      <c r="O37" s="3">
        <v>0</v>
      </c>
      <c r="P37" s="3">
        <v>0</v>
      </c>
      <c r="Q37" s="3">
        <v>1234.9407875365807</v>
      </c>
      <c r="R37" s="3">
        <v>3571.8972868616675</v>
      </c>
      <c r="S37" s="14">
        <v>0.49487615222205045</v>
      </c>
      <c r="T37" s="11">
        <v>2378.7895306126557</v>
      </c>
      <c r="U37" s="3">
        <v>0.41271000730460189</v>
      </c>
      <c r="V37" s="9">
        <v>1983.8301767969397</v>
      </c>
      <c r="W37" s="7">
        <v>2071.1159737417938</v>
      </c>
      <c r="X37" s="14">
        <v>0.43086867951154556</v>
      </c>
      <c r="Y37" s="3">
        <v>63.245999999999995</v>
      </c>
      <c r="Z37" s="3">
        <v>20.2</v>
      </c>
      <c r="AA37" s="3">
        <f t="shared" si="0"/>
        <v>35.470836791669804</v>
      </c>
    </row>
    <row r="38" spans="1:27" x14ac:dyDescent="0.25">
      <c r="A38" s="2">
        <v>4</v>
      </c>
      <c r="B38" s="2" t="s">
        <v>8</v>
      </c>
      <c r="C38" s="2" t="s">
        <v>1</v>
      </c>
      <c r="D38" s="2">
        <v>3</v>
      </c>
      <c r="E38" s="2">
        <v>36</v>
      </c>
      <c r="F38" s="2">
        <v>284</v>
      </c>
      <c r="G38" s="2" t="s">
        <v>2</v>
      </c>
      <c r="H38" s="2">
        <v>371000</v>
      </c>
      <c r="I38" s="5" t="s">
        <v>41</v>
      </c>
      <c r="J38" s="2">
        <v>0.76049999999999995</v>
      </c>
      <c r="K38" s="2">
        <v>0.76049999999999995</v>
      </c>
      <c r="L38" s="2">
        <v>0.91400000000000003</v>
      </c>
      <c r="M38" s="2">
        <v>1.8280000000000001</v>
      </c>
      <c r="N38" s="7">
        <v>4160.2844638949664</v>
      </c>
      <c r="O38" s="3" t="s">
        <v>41</v>
      </c>
      <c r="P38" s="3" t="s">
        <v>41</v>
      </c>
      <c r="Q38" s="3" t="s">
        <v>41</v>
      </c>
      <c r="R38" s="3" t="s">
        <v>41</v>
      </c>
      <c r="S38" s="14" t="s">
        <v>41</v>
      </c>
      <c r="T38" s="11"/>
      <c r="U38" s="3">
        <v>0.44733727810650892</v>
      </c>
      <c r="V38" s="9">
        <v>1861.0503282275708</v>
      </c>
      <c r="W38" s="7">
        <v>1861.0503282275711</v>
      </c>
      <c r="X38" s="14">
        <v>0.44733727810650897</v>
      </c>
      <c r="Y38" s="3" t="s">
        <v>41</v>
      </c>
      <c r="Z38" s="3" t="s">
        <v>41</v>
      </c>
      <c r="AA38" s="3">
        <f t="shared" si="0"/>
        <v>31.873160793782542</v>
      </c>
    </row>
    <row r="39" spans="1:27" x14ac:dyDescent="0.25">
      <c r="A39" s="2">
        <v>4</v>
      </c>
      <c r="B39" s="2" t="s">
        <v>0</v>
      </c>
      <c r="C39" s="2" t="s">
        <v>14</v>
      </c>
      <c r="D39" s="2">
        <v>1</v>
      </c>
      <c r="E39" s="2">
        <v>37</v>
      </c>
      <c r="F39" s="2">
        <v>287</v>
      </c>
      <c r="G39" s="2" t="s">
        <v>2</v>
      </c>
      <c r="H39" s="2">
        <v>371000</v>
      </c>
      <c r="I39" s="5">
        <v>0.18748999999999999</v>
      </c>
      <c r="J39" s="2">
        <v>1.2855000000000001</v>
      </c>
      <c r="K39" s="2">
        <v>1.47299</v>
      </c>
      <c r="L39" s="2">
        <v>0.91400000000000003</v>
      </c>
      <c r="M39" s="2">
        <v>1.8280000000000001</v>
      </c>
      <c r="N39" s="7">
        <v>8057.9321663019691</v>
      </c>
      <c r="O39" s="3">
        <v>12.893379112969207</v>
      </c>
      <c r="P39" s="3">
        <v>0</v>
      </c>
      <c r="Q39" s="3">
        <v>2273.1027376164657</v>
      </c>
      <c r="R39" s="3">
        <v>5771.936049572535</v>
      </c>
      <c r="S39" s="14">
        <v>0.51842764947463871</v>
      </c>
      <c r="T39" s="11">
        <v>4177.4548326020131</v>
      </c>
      <c r="U39" s="3">
        <v>0.45476468300272255</v>
      </c>
      <c r="V39" s="9">
        <v>3664.4629672657566</v>
      </c>
      <c r="W39" s="7">
        <v>3729.7592997811817</v>
      </c>
      <c r="X39" s="14">
        <v>0.46286804391068509</v>
      </c>
      <c r="Y39" s="3">
        <v>78.231999999999999</v>
      </c>
      <c r="Z39" s="3">
        <v>18.2</v>
      </c>
      <c r="AA39" s="3">
        <f t="shared" si="0"/>
        <v>63.87748685832139</v>
      </c>
    </row>
    <row r="40" spans="1:27" x14ac:dyDescent="0.25">
      <c r="A40" s="2">
        <v>4</v>
      </c>
      <c r="B40" s="2" t="s">
        <v>3</v>
      </c>
      <c r="C40" s="2" t="s">
        <v>14</v>
      </c>
      <c r="D40" s="2">
        <v>1</v>
      </c>
      <c r="E40" s="2">
        <v>38</v>
      </c>
      <c r="F40" s="2">
        <v>290</v>
      </c>
      <c r="G40" s="2" t="s">
        <v>2</v>
      </c>
      <c r="H40" s="2">
        <v>371000</v>
      </c>
      <c r="I40" s="5">
        <v>0.28619000000000006</v>
      </c>
      <c r="J40" s="2">
        <v>1.7084999999999999</v>
      </c>
      <c r="K40" s="2">
        <v>1.9946899999999999</v>
      </c>
      <c r="L40" s="2">
        <v>0.91400000000000003</v>
      </c>
      <c r="M40" s="2">
        <v>1.8280000000000001</v>
      </c>
      <c r="N40" s="7">
        <v>10911.870897155359</v>
      </c>
      <c r="O40" s="3">
        <v>0</v>
      </c>
      <c r="P40" s="3">
        <v>0</v>
      </c>
      <c r="Q40" s="3">
        <v>2626.6423917852917</v>
      </c>
      <c r="R40" s="3">
        <v>8285.2285053700671</v>
      </c>
      <c r="S40" s="14">
        <v>0.57234704217477894</v>
      </c>
      <c r="T40" s="11">
        <v>6245.3770325799214</v>
      </c>
      <c r="U40" s="3">
        <v>0.49815627743634761</v>
      </c>
      <c r="V40" s="9">
        <v>5435.8169859929321</v>
      </c>
      <c r="W40" s="7">
        <v>5551.9693654266957</v>
      </c>
      <c r="X40" s="14">
        <v>0.50880086630002663</v>
      </c>
      <c r="Y40" s="3">
        <v>91.948000000000008</v>
      </c>
      <c r="Z40" s="3">
        <v>20.6</v>
      </c>
      <c r="AA40" s="3">
        <f t="shared" si="0"/>
        <v>95.085452350411217</v>
      </c>
    </row>
    <row r="41" spans="1:27" x14ac:dyDescent="0.25">
      <c r="A41" s="2">
        <v>4</v>
      </c>
      <c r="B41" s="2" t="s">
        <v>4</v>
      </c>
      <c r="C41" s="2" t="s">
        <v>14</v>
      </c>
      <c r="D41" s="2">
        <v>1</v>
      </c>
      <c r="E41" s="2">
        <v>39</v>
      </c>
      <c r="F41" s="2">
        <v>290</v>
      </c>
      <c r="G41" s="2" t="s">
        <v>2</v>
      </c>
      <c r="H41" s="2">
        <v>371000</v>
      </c>
      <c r="I41" s="5">
        <v>0.22419</v>
      </c>
      <c r="J41" s="2">
        <v>1.1265000000000001</v>
      </c>
      <c r="K41" s="2">
        <v>1.3506900000000002</v>
      </c>
      <c r="L41" s="2">
        <v>0.91400000000000003</v>
      </c>
      <c r="M41" s="2">
        <v>1.8280000000000001</v>
      </c>
      <c r="N41" s="7">
        <v>7388.8949671772434</v>
      </c>
      <c r="O41" s="3">
        <v>0</v>
      </c>
      <c r="P41" s="3">
        <v>0</v>
      </c>
      <c r="Q41" s="3">
        <v>2105.6982891875377</v>
      </c>
      <c r="R41" s="3">
        <v>5283.1966779897057</v>
      </c>
      <c r="S41" s="14">
        <v>0.53749052143271325</v>
      </c>
      <c r="T41" s="11">
        <v>3971.4610087196475</v>
      </c>
      <c r="U41" s="3">
        <v>0.47918331114070123</v>
      </c>
      <c r="V41" s="9">
        <v>3540.6351560428543</v>
      </c>
      <c r="W41" s="7">
        <v>3612.1444201312902</v>
      </c>
      <c r="X41" s="14">
        <v>0.48886124869511122</v>
      </c>
      <c r="Y41" s="3">
        <v>59.436</v>
      </c>
      <c r="Z41" s="3">
        <v>14.2</v>
      </c>
      <c r="AA41" s="3">
        <f t="shared" si="0"/>
        <v>61.863163057420948</v>
      </c>
    </row>
    <row r="42" spans="1:27" x14ac:dyDescent="0.25">
      <c r="A42" s="2">
        <v>4</v>
      </c>
      <c r="B42" s="2" t="s">
        <v>5</v>
      </c>
      <c r="C42" s="2" t="s">
        <v>14</v>
      </c>
      <c r="D42" s="2">
        <v>1</v>
      </c>
      <c r="E42" s="2">
        <v>40</v>
      </c>
      <c r="F42" s="2">
        <v>290</v>
      </c>
      <c r="G42" s="2" t="s">
        <v>2</v>
      </c>
      <c r="H42" s="2">
        <v>371000</v>
      </c>
      <c r="I42" s="5">
        <v>0.20549000000000001</v>
      </c>
      <c r="J42" s="2">
        <v>1.3274999999999999</v>
      </c>
      <c r="K42" s="2">
        <v>1.5329899999999999</v>
      </c>
      <c r="L42" s="2">
        <v>0.91400000000000003</v>
      </c>
      <c r="M42" s="2">
        <v>1.8280000000000001</v>
      </c>
      <c r="N42" s="7">
        <v>8386.1597374179419</v>
      </c>
      <c r="O42" s="3">
        <v>134.67481207591229</v>
      </c>
      <c r="P42" s="3">
        <v>0</v>
      </c>
      <c r="Q42" s="3">
        <v>3301.1653178244069</v>
      </c>
      <c r="R42" s="3">
        <v>4950.319607517622</v>
      </c>
      <c r="S42" s="14">
        <v>0.43797751715411937</v>
      </c>
      <c r="T42" s="11">
        <v>3672.9494202521519</v>
      </c>
      <c r="U42" s="3">
        <v>0.47314500941619581</v>
      </c>
      <c r="V42" s="9">
        <v>3967.869627926334</v>
      </c>
      <c r="W42" s="7">
        <v>3928.3369803063447</v>
      </c>
      <c r="X42" s="14">
        <v>0.46843097476174006</v>
      </c>
      <c r="Y42" s="3">
        <v>107.188</v>
      </c>
      <c r="Z42" s="3">
        <v>20.6</v>
      </c>
      <c r="AA42" s="3">
        <f t="shared" si="0"/>
        <v>67.278414950074179</v>
      </c>
    </row>
    <row r="43" spans="1:27" x14ac:dyDescent="0.25">
      <c r="A43" s="2">
        <v>4</v>
      </c>
      <c r="B43" s="2" t="s">
        <v>6</v>
      </c>
      <c r="C43" s="2" t="s">
        <v>14</v>
      </c>
      <c r="D43" s="2">
        <v>1</v>
      </c>
      <c r="E43" s="2">
        <v>41</v>
      </c>
      <c r="F43" s="2">
        <v>287</v>
      </c>
      <c r="G43" s="2" t="s">
        <v>2</v>
      </c>
      <c r="H43" s="2">
        <v>371000</v>
      </c>
      <c r="I43" s="5">
        <v>0.14849000000000001</v>
      </c>
      <c r="J43" s="2">
        <v>1.1025</v>
      </c>
      <c r="K43" s="2">
        <v>1.25099</v>
      </c>
      <c r="L43" s="2">
        <v>0.91400000000000003</v>
      </c>
      <c r="M43" s="2">
        <v>1.8280000000000001</v>
      </c>
      <c r="N43" s="7">
        <v>6843.4901531728665</v>
      </c>
      <c r="O43" s="3">
        <v>59.913375979020351</v>
      </c>
      <c r="P43" s="3">
        <v>0</v>
      </c>
      <c r="Q43" s="3">
        <v>2575.8142949749599</v>
      </c>
      <c r="R43" s="3">
        <v>4207.7624822188882</v>
      </c>
      <c r="S43" s="14">
        <v>0.47814667654387494</v>
      </c>
      <c r="T43" s="11">
        <v>3272.1920727003398</v>
      </c>
      <c r="U43" s="3">
        <v>0.37659863945578231</v>
      </c>
      <c r="V43" s="9">
        <v>2577.2490808139446</v>
      </c>
      <c r="W43" s="7">
        <v>2659.7374179431072</v>
      </c>
      <c r="X43" s="14">
        <v>0.38865218746752572</v>
      </c>
      <c r="Y43" s="3">
        <v>104.64800000000001</v>
      </c>
      <c r="Z43" s="3">
        <v>20.2</v>
      </c>
      <c r="AA43" s="3">
        <f t="shared" si="0"/>
        <v>45.551824744083099</v>
      </c>
    </row>
    <row r="44" spans="1:27" x14ac:dyDescent="0.25">
      <c r="A44" s="2">
        <v>4</v>
      </c>
      <c r="B44" s="2" t="s">
        <v>7</v>
      </c>
      <c r="C44" s="2" t="s">
        <v>14</v>
      </c>
      <c r="D44" s="2">
        <v>1</v>
      </c>
      <c r="E44" s="2">
        <v>42</v>
      </c>
      <c r="F44" s="2">
        <v>290</v>
      </c>
      <c r="G44" s="2" t="s">
        <v>2</v>
      </c>
      <c r="H44" s="2">
        <v>371000</v>
      </c>
      <c r="I44" s="5" t="s">
        <v>41</v>
      </c>
      <c r="J44" s="2">
        <v>1.7135</v>
      </c>
      <c r="K44" s="2">
        <v>1.7135</v>
      </c>
      <c r="L44" s="2">
        <v>0.91400000000000003</v>
      </c>
      <c r="M44" s="2">
        <v>1.8280000000000001</v>
      </c>
      <c r="N44" s="7">
        <v>9373.6323851203506</v>
      </c>
      <c r="O44" s="3" t="s">
        <v>41</v>
      </c>
      <c r="P44" s="3" t="s">
        <v>41</v>
      </c>
      <c r="Q44" s="3" t="s">
        <v>41</v>
      </c>
      <c r="R44" s="3" t="s">
        <v>41</v>
      </c>
      <c r="S44" s="14" t="s">
        <v>41</v>
      </c>
      <c r="T44" s="11" t="s">
        <v>41</v>
      </c>
      <c r="U44" s="3">
        <v>0.4600525240735337</v>
      </c>
      <c r="V44" s="9">
        <v>4312.3632385120354</v>
      </c>
      <c r="W44" s="7">
        <v>4312.3632385120345</v>
      </c>
      <c r="X44" s="14">
        <v>0.46005252407353364</v>
      </c>
      <c r="Y44" s="3" t="s">
        <v>41</v>
      </c>
      <c r="Z44" s="3" t="s">
        <v>41</v>
      </c>
      <c r="AA44" s="3">
        <f t="shared" si="0"/>
        <v>73.855416383711855</v>
      </c>
    </row>
    <row r="45" spans="1:27" x14ac:dyDescent="0.25">
      <c r="A45" s="2">
        <v>4</v>
      </c>
      <c r="B45" s="2" t="s">
        <v>8</v>
      </c>
      <c r="C45" s="2" t="s">
        <v>14</v>
      </c>
      <c r="D45" s="2">
        <v>1</v>
      </c>
      <c r="E45" s="2">
        <v>43</v>
      </c>
      <c r="F45" s="2">
        <v>290</v>
      </c>
      <c r="G45" s="2" t="s">
        <v>2</v>
      </c>
      <c r="H45" s="2">
        <v>371000</v>
      </c>
      <c r="I45" s="5" t="s">
        <v>41</v>
      </c>
      <c r="J45" s="2">
        <v>1.2925</v>
      </c>
      <c r="K45" s="2">
        <v>1.2925</v>
      </c>
      <c r="L45" s="2">
        <v>0.91400000000000003</v>
      </c>
      <c r="M45" s="2">
        <v>1.8280000000000001</v>
      </c>
      <c r="N45" s="7">
        <v>7070.5689277899337</v>
      </c>
      <c r="O45" s="3" t="s">
        <v>41</v>
      </c>
      <c r="P45" s="3" t="s">
        <v>41</v>
      </c>
      <c r="Q45" s="3" t="s">
        <v>41</v>
      </c>
      <c r="R45" s="3" t="s">
        <v>41</v>
      </c>
      <c r="S45" s="14" t="s">
        <v>41</v>
      </c>
      <c r="T45" s="11" t="s">
        <v>41</v>
      </c>
      <c r="U45" s="3">
        <v>0.42135396518375234</v>
      </c>
      <c r="V45" s="9">
        <v>2979.2122538293211</v>
      </c>
      <c r="W45" s="7">
        <v>2979.2122538293206</v>
      </c>
      <c r="X45" s="14">
        <v>0.42135396518375229</v>
      </c>
      <c r="Y45" s="3" t="s">
        <v>41</v>
      </c>
      <c r="Z45" s="3" t="s">
        <v>41</v>
      </c>
      <c r="AA45" s="3">
        <f t="shared" si="0"/>
        <v>51.023290324203309</v>
      </c>
    </row>
    <row r="46" spans="1:27" x14ac:dyDescent="0.25">
      <c r="A46" s="2">
        <v>4</v>
      </c>
      <c r="B46" s="2" t="s">
        <v>9</v>
      </c>
      <c r="C46" s="2" t="s">
        <v>14</v>
      </c>
      <c r="D46" s="2">
        <v>1</v>
      </c>
      <c r="E46" s="2">
        <v>44</v>
      </c>
      <c r="F46" s="2">
        <v>287</v>
      </c>
      <c r="G46" s="2" t="s">
        <v>2</v>
      </c>
      <c r="H46" s="2">
        <v>371000</v>
      </c>
      <c r="I46" s="5" t="s">
        <v>41</v>
      </c>
      <c r="J46" s="2">
        <v>1.5505</v>
      </c>
      <c r="K46" s="2">
        <v>1.5505</v>
      </c>
      <c r="L46" s="2">
        <v>0.91400000000000003</v>
      </c>
      <c r="M46" s="2">
        <v>1.8280000000000001</v>
      </c>
      <c r="N46" s="7">
        <v>8481.9474835886213</v>
      </c>
      <c r="O46" s="3" t="s">
        <v>41</v>
      </c>
      <c r="P46" s="3" t="s">
        <v>41</v>
      </c>
      <c r="Q46" s="3" t="s">
        <v>41</v>
      </c>
      <c r="R46" s="3" t="s">
        <v>41</v>
      </c>
      <c r="S46" s="14" t="s">
        <v>41</v>
      </c>
      <c r="T46" s="11" t="s">
        <v>41</v>
      </c>
      <c r="U46" s="3">
        <v>0.48577878103837469</v>
      </c>
      <c r="V46" s="9">
        <v>4120.3501094091898</v>
      </c>
      <c r="W46" s="7">
        <v>4120.3501094091898</v>
      </c>
      <c r="X46" s="14">
        <v>0.48577878103837469</v>
      </c>
      <c r="Y46" s="3" t="s">
        <v>41</v>
      </c>
      <c r="Z46" s="3" t="s">
        <v>41</v>
      </c>
      <c r="AA46" s="3">
        <f t="shared" si="0"/>
        <v>70.566915666893024</v>
      </c>
    </row>
    <row r="47" spans="1:27" x14ac:dyDescent="0.25">
      <c r="A47" s="2">
        <v>4</v>
      </c>
      <c r="B47" s="2" t="s">
        <v>10</v>
      </c>
      <c r="C47" s="2" t="s">
        <v>14</v>
      </c>
      <c r="D47" s="2">
        <v>1</v>
      </c>
      <c r="E47" s="2">
        <v>45</v>
      </c>
      <c r="F47" s="2">
        <v>274</v>
      </c>
      <c r="G47" s="2" t="s">
        <v>2</v>
      </c>
      <c r="H47" s="2">
        <v>371000</v>
      </c>
      <c r="I47" s="5">
        <v>0.30879000000000001</v>
      </c>
      <c r="J47" s="2">
        <v>0.85750000000000004</v>
      </c>
      <c r="K47" s="2">
        <v>1.16629</v>
      </c>
      <c r="L47" s="2">
        <v>0.91400000000000003</v>
      </c>
      <c r="M47" s="2">
        <v>1.8280000000000001</v>
      </c>
      <c r="N47" s="7">
        <v>6380.1422319474832</v>
      </c>
      <c r="O47" s="3">
        <v>0</v>
      </c>
      <c r="P47" s="3">
        <v>157.02931106188956</v>
      </c>
      <c r="Q47" s="3">
        <v>1506.0350635922537</v>
      </c>
      <c r="R47" s="3">
        <v>4717.0778572933395</v>
      </c>
      <c r="S47" s="14">
        <v>0.47993782182065486</v>
      </c>
      <c r="T47" s="11">
        <v>3062.0715657068463</v>
      </c>
      <c r="U47" s="3">
        <v>0.50169096209912534</v>
      </c>
      <c r="V47" s="9">
        <v>3200.8596946749935</v>
      </c>
      <c r="W47" s="7">
        <v>3164.1137855579868</v>
      </c>
      <c r="X47" s="14">
        <v>0.49593154361265213</v>
      </c>
      <c r="Y47" s="3">
        <v>52.832000000000001</v>
      </c>
      <c r="Z47" s="3">
        <v>15.4</v>
      </c>
      <c r="AA47" s="3">
        <f t="shared" si="0"/>
        <v>54.189994718177019</v>
      </c>
    </row>
    <row r="48" spans="1:27" x14ac:dyDescent="0.25">
      <c r="A48" s="2">
        <v>4</v>
      </c>
      <c r="B48" s="2" t="s">
        <v>11</v>
      </c>
      <c r="C48" s="2" t="s">
        <v>14</v>
      </c>
      <c r="D48" s="2">
        <v>1</v>
      </c>
      <c r="E48" s="2">
        <v>46</v>
      </c>
      <c r="F48" s="2">
        <v>270</v>
      </c>
      <c r="G48" s="2" t="s">
        <v>2</v>
      </c>
      <c r="H48" s="2">
        <v>371000</v>
      </c>
      <c r="I48" s="5">
        <v>0.17808999999999997</v>
      </c>
      <c r="J48" s="2">
        <v>0.64549999999999996</v>
      </c>
      <c r="K48" s="2">
        <v>0.82358999999999993</v>
      </c>
      <c r="L48" s="2">
        <v>0.91400000000000003</v>
      </c>
      <c r="M48" s="2">
        <v>1.8280000000000001</v>
      </c>
      <c r="N48" s="7">
        <v>4505.4157549234133</v>
      </c>
      <c r="O48" s="3">
        <v>564.15728752199527</v>
      </c>
      <c r="P48" s="3">
        <v>40.477652916376378</v>
      </c>
      <c r="Q48" s="3">
        <v>2602.9660678537261</v>
      </c>
      <c r="R48" s="3">
        <v>1297.8147466313164</v>
      </c>
      <c r="S48" s="14">
        <v>2.7514178224493251E-2</v>
      </c>
      <c r="T48" s="11">
        <v>123.9628120564026</v>
      </c>
      <c r="U48" s="3">
        <v>0.25375677769171184</v>
      </c>
      <c r="V48" s="9">
        <v>1143.2797841308366</v>
      </c>
      <c r="W48" s="7">
        <v>922.86652078774625</v>
      </c>
      <c r="X48" s="14">
        <v>0.20483493000157849</v>
      </c>
      <c r="Y48" s="3">
        <v>83.820000000000007</v>
      </c>
      <c r="Z48" s="3">
        <v>16.600000000000001</v>
      </c>
      <c r="AA48" s="3">
        <f t="shared" si="0"/>
        <v>15.805415126134964</v>
      </c>
    </row>
    <row r="49" spans="1:27" x14ac:dyDescent="0.25">
      <c r="A49" s="2">
        <v>4</v>
      </c>
      <c r="B49" s="2" t="s">
        <v>12</v>
      </c>
      <c r="C49" s="2" t="s">
        <v>14</v>
      </c>
      <c r="D49" s="2">
        <v>1</v>
      </c>
      <c r="E49" s="2">
        <v>47</v>
      </c>
      <c r="F49" s="2">
        <v>270</v>
      </c>
      <c r="G49" s="2" t="s">
        <v>2</v>
      </c>
      <c r="H49" s="2">
        <v>371000</v>
      </c>
      <c r="I49" s="5">
        <v>0.14219000000000001</v>
      </c>
      <c r="J49" s="2">
        <v>0.9365</v>
      </c>
      <c r="K49" s="2">
        <v>1.0786899999999999</v>
      </c>
      <c r="L49" s="2">
        <v>0.91400000000000003</v>
      </c>
      <c r="M49" s="2">
        <v>1.8280000000000001</v>
      </c>
      <c r="N49" s="7">
        <v>5900.9299781181617</v>
      </c>
      <c r="O49" s="3">
        <v>0</v>
      </c>
      <c r="P49" s="3">
        <v>0</v>
      </c>
      <c r="Q49" s="3">
        <v>1613.9473018427127</v>
      </c>
      <c r="R49" s="3">
        <v>4286.9826762754492</v>
      </c>
      <c r="S49" s="14">
        <v>0.45783810394542501</v>
      </c>
      <c r="T49" s="11">
        <v>2701.6705926963373</v>
      </c>
      <c r="U49" s="3">
        <v>0.48307528029898561</v>
      </c>
      <c r="V49" s="9">
        <v>2850.5934032041177</v>
      </c>
      <c r="W49" s="7">
        <v>2830.9628008752738</v>
      </c>
      <c r="X49" s="14">
        <v>0.4797485839305084</v>
      </c>
      <c r="Y49" s="3">
        <v>58.165999999999997</v>
      </c>
      <c r="Z49" s="3">
        <v>14.4</v>
      </c>
      <c r="AA49" s="3">
        <f t="shared" si="0"/>
        <v>48.48430544027768</v>
      </c>
    </row>
    <row r="50" spans="1:27" x14ac:dyDescent="0.25">
      <c r="A50" s="2">
        <v>4</v>
      </c>
      <c r="B50" s="2" t="s">
        <v>13</v>
      </c>
      <c r="C50" s="2" t="s">
        <v>14</v>
      </c>
      <c r="D50" s="2">
        <v>1</v>
      </c>
      <c r="E50" s="2">
        <v>48</v>
      </c>
      <c r="F50" s="2">
        <v>270</v>
      </c>
      <c r="G50" s="2" t="s">
        <v>2</v>
      </c>
      <c r="H50" s="2">
        <v>371000</v>
      </c>
      <c r="I50" s="5" t="s">
        <v>41</v>
      </c>
      <c r="J50" s="2">
        <v>1.2705</v>
      </c>
      <c r="K50" s="2">
        <v>1.2705</v>
      </c>
      <c r="L50" s="2">
        <v>0.91400000000000003</v>
      </c>
      <c r="M50" s="2">
        <v>1.8280000000000001</v>
      </c>
      <c r="N50" s="7">
        <v>6950.2188183807439</v>
      </c>
      <c r="O50" s="3" t="s">
        <v>41</v>
      </c>
      <c r="P50" s="3" t="s">
        <v>41</v>
      </c>
      <c r="Q50" s="3" t="s">
        <v>41</v>
      </c>
      <c r="R50" s="3" t="s">
        <v>41</v>
      </c>
      <c r="S50" s="14" t="s">
        <v>41</v>
      </c>
      <c r="T50" s="11" t="s">
        <v>41</v>
      </c>
      <c r="U50" s="3">
        <v>0.47162534435261705</v>
      </c>
      <c r="V50" s="9">
        <v>3277.8993435448574</v>
      </c>
      <c r="W50" s="7">
        <v>3277.8993435448579</v>
      </c>
      <c r="X50" s="14">
        <v>0.4716253443526171</v>
      </c>
      <c r="Y50" s="3" t="s">
        <v>41</v>
      </c>
      <c r="Z50" s="3" t="s">
        <v>41</v>
      </c>
      <c r="AA50" s="3">
        <f t="shared" si="0"/>
        <v>56.13873588369929</v>
      </c>
    </row>
    <row r="51" spans="1:27" x14ac:dyDescent="0.25">
      <c r="A51" s="2">
        <v>4</v>
      </c>
      <c r="B51" s="2" t="s">
        <v>11</v>
      </c>
      <c r="C51" s="2" t="s">
        <v>14</v>
      </c>
      <c r="D51" s="2">
        <v>2</v>
      </c>
      <c r="E51" s="2">
        <v>49</v>
      </c>
      <c r="F51" s="2">
        <v>270</v>
      </c>
      <c r="G51" s="2" t="s">
        <v>2</v>
      </c>
      <c r="H51" s="2">
        <v>371000</v>
      </c>
      <c r="I51" s="5">
        <v>0.19148999999999999</v>
      </c>
      <c r="J51" s="2">
        <v>0.91049999999999998</v>
      </c>
      <c r="K51" s="2">
        <v>1.10199</v>
      </c>
      <c r="L51" s="2">
        <v>0.91400000000000003</v>
      </c>
      <c r="M51" s="2">
        <v>1.8280000000000001</v>
      </c>
      <c r="N51" s="7">
        <v>6028.3916849015313</v>
      </c>
      <c r="O51" s="3">
        <v>324.2594096531713</v>
      </c>
      <c r="P51" s="3">
        <v>0</v>
      </c>
      <c r="Q51" s="3">
        <v>2200.2417612291401</v>
      </c>
      <c r="R51" s="3">
        <v>3503.8905140192201</v>
      </c>
      <c r="S51" s="14">
        <v>0.36085435270771316</v>
      </c>
      <c r="T51" s="11">
        <v>2175.3713793237025</v>
      </c>
      <c r="U51" s="3">
        <v>0.20065897858319609</v>
      </c>
      <c r="V51" s="9">
        <v>1209.6509179917737</v>
      </c>
      <c r="W51" s="7">
        <v>1377.4617067833699</v>
      </c>
      <c r="X51" s="14">
        <v>0.22849572137678203</v>
      </c>
      <c r="Y51" s="3">
        <v>67.817999999999998</v>
      </c>
      <c r="Z51" s="3">
        <v>11.8</v>
      </c>
      <c r="AA51" s="3">
        <f t="shared" si="0"/>
        <v>23.591010840312887</v>
      </c>
    </row>
    <row r="52" spans="1:27" x14ac:dyDescent="0.25">
      <c r="A52" s="2">
        <v>4</v>
      </c>
      <c r="B52" s="2" t="s">
        <v>9</v>
      </c>
      <c r="C52" s="2" t="s">
        <v>14</v>
      </c>
      <c r="D52" s="2">
        <v>2</v>
      </c>
      <c r="E52" s="2">
        <v>50</v>
      </c>
      <c r="F52" s="2">
        <v>287</v>
      </c>
      <c r="G52" s="2" t="s">
        <v>2</v>
      </c>
      <c r="H52" s="2">
        <v>371000</v>
      </c>
      <c r="I52" s="5" t="s">
        <v>41</v>
      </c>
      <c r="J52" s="2">
        <v>1.9635</v>
      </c>
      <c r="K52" s="2">
        <v>1.9635</v>
      </c>
      <c r="L52" s="2">
        <v>0.91400000000000003</v>
      </c>
      <c r="M52" s="2">
        <v>1.8280000000000001</v>
      </c>
      <c r="N52" s="7">
        <v>10741.24726477024</v>
      </c>
      <c r="O52" s="3" t="s">
        <v>41</v>
      </c>
      <c r="P52" s="3" t="s">
        <v>41</v>
      </c>
      <c r="Q52" s="3" t="s">
        <v>41</v>
      </c>
      <c r="R52" s="3" t="s">
        <v>41</v>
      </c>
      <c r="S52" s="14" t="s">
        <v>41</v>
      </c>
      <c r="T52" s="11" t="s">
        <v>41</v>
      </c>
      <c r="U52" s="3">
        <v>0.48907563025210082</v>
      </c>
      <c r="V52" s="9">
        <v>5253.2822757111589</v>
      </c>
      <c r="W52" s="7">
        <v>5253.2822757111599</v>
      </c>
      <c r="X52" s="14">
        <v>0.48907563025210088</v>
      </c>
      <c r="Y52" s="3" t="s">
        <v>41</v>
      </c>
      <c r="Z52" s="3" t="s">
        <v>41</v>
      </c>
      <c r="AA52" s="3">
        <f t="shared" si="0"/>
        <v>89.970006790915264</v>
      </c>
    </row>
    <row r="53" spans="1:27" x14ac:dyDescent="0.25">
      <c r="A53" s="2">
        <v>4</v>
      </c>
      <c r="B53" s="2" t="s">
        <v>10</v>
      </c>
      <c r="C53" s="2" t="s">
        <v>14</v>
      </c>
      <c r="D53" s="2">
        <v>2</v>
      </c>
      <c r="E53" s="2">
        <v>51</v>
      </c>
      <c r="F53" s="2">
        <v>274</v>
      </c>
      <c r="G53" s="2" t="s">
        <v>2</v>
      </c>
      <c r="H53" s="2">
        <v>371000</v>
      </c>
      <c r="I53" s="5">
        <v>0.27479000000000003</v>
      </c>
      <c r="J53" s="2">
        <v>0.94350000000000001</v>
      </c>
      <c r="K53" s="2">
        <v>1.2182900000000001</v>
      </c>
      <c r="L53" s="2">
        <v>0.91400000000000003</v>
      </c>
      <c r="M53" s="2">
        <v>1.8280000000000001</v>
      </c>
      <c r="N53" s="7">
        <v>6664.6061269146612</v>
      </c>
      <c r="O53" s="3">
        <v>0</v>
      </c>
      <c r="P53" s="3">
        <v>87.31242787908144</v>
      </c>
      <c r="Q53" s="3">
        <v>1573.8065125204423</v>
      </c>
      <c r="R53" s="3">
        <v>5003.4871865151372</v>
      </c>
      <c r="S53" s="14">
        <v>0.46544634084209752</v>
      </c>
      <c r="T53" s="11">
        <v>3102.0165349262529</v>
      </c>
      <c r="U53" s="3">
        <v>0.48383677795442503</v>
      </c>
      <c r="V53" s="9">
        <v>3224.5815547817097</v>
      </c>
      <c r="W53" s="7">
        <v>3196.936542669584</v>
      </c>
      <c r="X53" s="14">
        <v>0.47968874405929618</v>
      </c>
      <c r="Y53" s="3">
        <v>45.974000000000004</v>
      </c>
      <c r="Z53" s="3">
        <v>14.6</v>
      </c>
      <c r="AA53" s="3">
        <f t="shared" si="0"/>
        <v>54.752131592846901</v>
      </c>
    </row>
    <row r="54" spans="1:27" x14ac:dyDescent="0.25">
      <c r="A54" s="2">
        <v>4</v>
      </c>
      <c r="B54" s="2" t="s">
        <v>3</v>
      </c>
      <c r="C54" s="2" t="s">
        <v>14</v>
      </c>
      <c r="D54" s="2">
        <v>2</v>
      </c>
      <c r="E54" s="2">
        <v>52</v>
      </c>
      <c r="F54" s="2">
        <v>290</v>
      </c>
      <c r="G54" s="2" t="s">
        <v>2</v>
      </c>
      <c r="H54" s="2">
        <v>371000</v>
      </c>
      <c r="I54" s="5">
        <v>0.18648999999999999</v>
      </c>
      <c r="J54" s="2">
        <v>1.4744999999999999</v>
      </c>
      <c r="K54" s="2">
        <v>1.66099</v>
      </c>
      <c r="L54" s="2">
        <v>0.91400000000000003</v>
      </c>
      <c r="M54" s="2">
        <v>1.8280000000000001</v>
      </c>
      <c r="N54" s="7">
        <v>9086.3785557986866</v>
      </c>
      <c r="O54" s="3">
        <v>14.616942285053423</v>
      </c>
      <c r="P54" s="3">
        <v>0</v>
      </c>
      <c r="Q54" s="3">
        <v>2625.6900658050899</v>
      </c>
      <c r="R54" s="3">
        <v>6446.0715477085441</v>
      </c>
      <c r="S54" s="14">
        <v>0.52549734570218243</v>
      </c>
      <c r="T54" s="11">
        <v>4774.8678131174393</v>
      </c>
      <c r="U54" s="3">
        <v>0.47643268904713465</v>
      </c>
      <c r="V54" s="9">
        <v>4329.0477690393882</v>
      </c>
      <c r="W54" s="7">
        <v>4379.1028446389491</v>
      </c>
      <c r="X54" s="14">
        <v>0.48194149272421866</v>
      </c>
      <c r="Y54" s="3">
        <v>95.504000000000005</v>
      </c>
      <c r="Z54" s="3">
        <v>17.600000000000001</v>
      </c>
      <c r="AA54" s="3">
        <f t="shared" si="0"/>
        <v>74.99842802887396</v>
      </c>
    </row>
    <row r="55" spans="1:27" x14ac:dyDescent="0.25">
      <c r="A55" s="2">
        <v>4</v>
      </c>
      <c r="B55" s="2" t="s">
        <v>8</v>
      </c>
      <c r="C55" s="2" t="s">
        <v>14</v>
      </c>
      <c r="D55" s="2">
        <v>2</v>
      </c>
      <c r="E55" s="2">
        <v>53</v>
      </c>
      <c r="F55" s="2">
        <v>290</v>
      </c>
      <c r="G55" s="2" t="s">
        <v>2</v>
      </c>
      <c r="H55" s="2">
        <v>371000</v>
      </c>
      <c r="I55" s="5" t="s">
        <v>41</v>
      </c>
      <c r="J55" s="2">
        <v>1.6775</v>
      </c>
      <c r="K55" s="2">
        <v>1.6775</v>
      </c>
      <c r="L55" s="2">
        <v>0.91400000000000003</v>
      </c>
      <c r="M55" s="2">
        <v>1.8280000000000001</v>
      </c>
      <c r="N55" s="7">
        <v>9176.6958424507648</v>
      </c>
      <c r="O55" s="3" t="s">
        <v>41</v>
      </c>
      <c r="P55" s="3" t="s">
        <v>41</v>
      </c>
      <c r="Q55" s="3" t="s">
        <v>41</v>
      </c>
      <c r="R55" s="3" t="s">
        <v>41</v>
      </c>
      <c r="S55" s="14" t="s">
        <v>41</v>
      </c>
      <c r="T55" s="11" t="s">
        <v>41</v>
      </c>
      <c r="U55" s="3">
        <v>0.44506706408345748</v>
      </c>
      <c r="V55" s="9">
        <v>4084.2450765864323</v>
      </c>
      <c r="W55" s="7">
        <v>4084.2450765864328</v>
      </c>
      <c r="X55" s="14">
        <v>0.44506706408345753</v>
      </c>
      <c r="Y55" s="3" t="s">
        <v>41</v>
      </c>
      <c r="Z55" s="3" t="s">
        <v>41</v>
      </c>
      <c r="AA55" s="3">
        <f t="shared" si="0"/>
        <v>69.948565104756142</v>
      </c>
    </row>
    <row r="56" spans="1:27" x14ac:dyDescent="0.25">
      <c r="A56" s="2">
        <v>4</v>
      </c>
      <c r="B56" s="2" t="s">
        <v>5</v>
      </c>
      <c r="C56" s="2" t="s">
        <v>14</v>
      </c>
      <c r="D56" s="2">
        <v>2</v>
      </c>
      <c r="E56" s="2">
        <v>54</v>
      </c>
      <c r="F56" s="2">
        <v>290</v>
      </c>
      <c r="G56" s="2" t="s">
        <v>2</v>
      </c>
      <c r="H56" s="2">
        <v>371000</v>
      </c>
      <c r="I56" s="5">
        <v>0.21118999999999999</v>
      </c>
      <c r="J56" s="2">
        <v>1.6145</v>
      </c>
      <c r="K56" s="2">
        <v>1.82569</v>
      </c>
      <c r="L56" s="2">
        <v>0.91400000000000003</v>
      </c>
      <c r="M56" s="2">
        <v>1.8280000000000001</v>
      </c>
      <c r="N56" s="7">
        <v>9987.3632385120363</v>
      </c>
      <c r="O56" s="3">
        <v>0</v>
      </c>
      <c r="P56" s="3">
        <v>0</v>
      </c>
      <c r="Q56" s="3">
        <v>3305.1603614735836</v>
      </c>
      <c r="R56" s="3">
        <v>6682.2028770384532</v>
      </c>
      <c r="S56" s="14">
        <v>0.50333822624177282</v>
      </c>
      <c r="T56" s="11">
        <v>5027.0216973049364</v>
      </c>
      <c r="U56" s="3">
        <v>0.45270981728089188</v>
      </c>
      <c r="V56" s="9">
        <v>4521.3773868246808</v>
      </c>
      <c r="W56" s="7">
        <v>4579.8687089715531</v>
      </c>
      <c r="X56" s="14">
        <v>0.45856635025661519</v>
      </c>
      <c r="Y56" s="3">
        <v>96.774000000000001</v>
      </c>
      <c r="Z56" s="3">
        <v>19</v>
      </c>
      <c r="AA56" s="3">
        <f t="shared" si="0"/>
        <v>78.43683191227143</v>
      </c>
    </row>
    <row r="57" spans="1:27" x14ac:dyDescent="0.25">
      <c r="A57" s="2">
        <v>4</v>
      </c>
      <c r="B57" s="2" t="s">
        <v>6</v>
      </c>
      <c r="C57" s="2" t="s">
        <v>14</v>
      </c>
      <c r="D57" s="2">
        <v>2</v>
      </c>
      <c r="E57" s="2">
        <v>55</v>
      </c>
      <c r="F57" s="2">
        <v>287</v>
      </c>
      <c r="G57" s="2" t="s">
        <v>2</v>
      </c>
      <c r="H57" s="2">
        <v>371000</v>
      </c>
      <c r="I57" s="5">
        <v>0.17349000000000001</v>
      </c>
      <c r="J57" s="2">
        <v>1.0834999999999999</v>
      </c>
      <c r="K57" s="2">
        <v>1.2569899999999998</v>
      </c>
      <c r="L57" s="2">
        <v>0.91400000000000003</v>
      </c>
      <c r="M57" s="2">
        <v>1.8280000000000001</v>
      </c>
      <c r="N57" s="7">
        <v>6876.3129102844623</v>
      </c>
      <c r="O57" s="3">
        <v>91.160987340217133</v>
      </c>
      <c r="P57" s="3">
        <v>0</v>
      </c>
      <c r="Q57" s="3">
        <v>2215.2119923672753</v>
      </c>
      <c r="R57" s="3">
        <v>4569.9399305769693</v>
      </c>
      <c r="S57" s="14">
        <v>0.49570580436912787</v>
      </c>
      <c r="T57" s="11">
        <v>3408.6282222863779</v>
      </c>
      <c r="U57" s="3">
        <v>0.46192893401015239</v>
      </c>
      <c r="V57" s="9">
        <v>3176.3678925679505</v>
      </c>
      <c r="W57" s="7">
        <v>3208.4245076586431</v>
      </c>
      <c r="X57" s="14">
        <v>0.46659082411156816</v>
      </c>
      <c r="Y57" s="3">
        <v>90.931999999999988</v>
      </c>
      <c r="Z57" s="3">
        <v>18.600000000000001</v>
      </c>
      <c r="AA57" s="3">
        <f t="shared" si="0"/>
        <v>54.948879498981356</v>
      </c>
    </row>
    <row r="58" spans="1:27" x14ac:dyDescent="0.25">
      <c r="A58" s="2">
        <v>4</v>
      </c>
      <c r="B58" s="2" t="s">
        <v>12</v>
      </c>
      <c r="C58" s="2" t="s">
        <v>14</v>
      </c>
      <c r="D58" s="2">
        <v>2</v>
      </c>
      <c r="E58" s="2">
        <v>56</v>
      </c>
      <c r="F58" s="2">
        <v>270</v>
      </c>
      <c r="G58" s="2" t="s">
        <v>2</v>
      </c>
      <c r="H58" s="2">
        <v>371000</v>
      </c>
      <c r="I58" s="5">
        <v>0.18419000000000002</v>
      </c>
      <c r="J58" s="2">
        <v>0.98350000000000004</v>
      </c>
      <c r="K58" s="2">
        <v>1.1676900000000001</v>
      </c>
      <c r="L58" s="2">
        <v>0.91400000000000003</v>
      </c>
      <c r="M58" s="2">
        <v>1.8280000000000001</v>
      </c>
      <c r="N58" s="7">
        <v>6387.8008752735232</v>
      </c>
      <c r="O58" s="3">
        <v>0</v>
      </c>
      <c r="P58" s="3">
        <v>0</v>
      </c>
      <c r="Q58" s="3">
        <v>1626.1685381485174</v>
      </c>
      <c r="R58" s="3">
        <v>4761.6323371250046</v>
      </c>
      <c r="S58" s="14">
        <v>0.4853683696183288</v>
      </c>
      <c r="T58" s="11">
        <v>3100.4364962780437</v>
      </c>
      <c r="U58" s="3">
        <v>0.4842907981698017</v>
      </c>
      <c r="V58" s="9">
        <v>3093.5531844359725</v>
      </c>
      <c r="W58" s="7">
        <v>3094.6389496717725</v>
      </c>
      <c r="X58" s="14">
        <v>0.48446077297912971</v>
      </c>
      <c r="Y58" s="3">
        <v>51.815999999999995</v>
      </c>
      <c r="Z58" s="3">
        <v>14.6</v>
      </c>
      <c r="AA58" s="3">
        <f t="shared" si="0"/>
        <v>53.000138333459091</v>
      </c>
    </row>
    <row r="59" spans="1:27" x14ac:dyDescent="0.25">
      <c r="A59" s="2">
        <v>4</v>
      </c>
      <c r="B59" s="2" t="s">
        <v>0</v>
      </c>
      <c r="C59" s="2" t="s">
        <v>14</v>
      </c>
      <c r="D59" s="2">
        <v>2</v>
      </c>
      <c r="E59" s="2">
        <v>57</v>
      </c>
      <c r="F59" s="2">
        <v>287</v>
      </c>
      <c r="G59" s="2" t="s">
        <v>2</v>
      </c>
      <c r="H59" s="2">
        <v>371000</v>
      </c>
      <c r="I59" s="5">
        <v>0.11818999999999999</v>
      </c>
      <c r="J59" s="2">
        <v>1.5295000000000001</v>
      </c>
      <c r="K59" s="2">
        <v>1.6476900000000001</v>
      </c>
      <c r="L59" s="2">
        <v>0.91400000000000003</v>
      </c>
      <c r="M59" s="2">
        <v>1.8280000000000001</v>
      </c>
      <c r="N59" s="7">
        <v>9013.6214442013134</v>
      </c>
      <c r="O59" s="3">
        <v>0</v>
      </c>
      <c r="P59" s="3">
        <v>0</v>
      </c>
      <c r="Q59" s="3">
        <v>2050.734246844685</v>
      </c>
      <c r="R59" s="3">
        <v>6962.8871973566283</v>
      </c>
      <c r="S59" s="14">
        <v>0.30544039258820538</v>
      </c>
      <c r="T59" s="11">
        <v>2753.1240725583157</v>
      </c>
      <c r="U59" s="3">
        <v>0.50872834259561939</v>
      </c>
      <c r="V59" s="9">
        <v>4585.4846980928669</v>
      </c>
      <c r="W59" s="7">
        <v>4454.0481400437629</v>
      </c>
      <c r="X59" s="14">
        <v>0.49414635034502841</v>
      </c>
      <c r="Y59" s="3">
        <v>77.977999999999994</v>
      </c>
      <c r="Z59" s="3">
        <v>17</v>
      </c>
      <c r="AA59" s="3">
        <f t="shared" si="0"/>
        <v>76.281973892703533</v>
      </c>
    </row>
    <row r="60" spans="1:27" x14ac:dyDescent="0.25">
      <c r="A60" s="2">
        <v>4</v>
      </c>
      <c r="B60" s="2" t="s">
        <v>13</v>
      </c>
      <c r="C60" s="2" t="s">
        <v>14</v>
      </c>
      <c r="D60" s="2">
        <v>2</v>
      </c>
      <c r="E60" s="2">
        <v>58</v>
      </c>
      <c r="F60" s="2">
        <v>270</v>
      </c>
      <c r="G60" s="2" t="s">
        <v>2</v>
      </c>
      <c r="H60" s="2">
        <v>371000</v>
      </c>
      <c r="I60" s="5" t="s">
        <v>41</v>
      </c>
      <c r="J60" s="2">
        <v>1.0685</v>
      </c>
      <c r="K60" s="2">
        <v>1.0685</v>
      </c>
      <c r="L60" s="2">
        <v>0.91400000000000003</v>
      </c>
      <c r="M60" s="2">
        <v>1.8280000000000001</v>
      </c>
      <c r="N60" s="7">
        <v>5845.1859956236322</v>
      </c>
      <c r="O60" s="3" t="s">
        <v>41</v>
      </c>
      <c r="P60" s="3" t="s">
        <v>41</v>
      </c>
      <c r="Q60" s="3" t="s">
        <v>41</v>
      </c>
      <c r="R60" s="3" t="s">
        <v>41</v>
      </c>
      <c r="S60" s="14" t="s">
        <v>41</v>
      </c>
      <c r="T60" s="11" t="s">
        <v>41</v>
      </c>
      <c r="U60" s="3">
        <v>0.44014974262985496</v>
      </c>
      <c r="V60" s="9">
        <v>2572.7571115973742</v>
      </c>
      <c r="W60" s="7">
        <v>2572.7571115973742</v>
      </c>
      <c r="X60" s="14">
        <v>0.44014974262985496</v>
      </c>
      <c r="Y60" s="3" t="s">
        <v>41</v>
      </c>
      <c r="Z60" s="3" t="s">
        <v>41</v>
      </c>
      <c r="AA60" s="3">
        <f t="shared" si="0"/>
        <v>44.062162026207901</v>
      </c>
    </row>
    <row r="61" spans="1:27" x14ac:dyDescent="0.25">
      <c r="A61" s="2">
        <v>4</v>
      </c>
      <c r="B61" s="2" t="s">
        <v>7</v>
      </c>
      <c r="C61" s="2" t="s">
        <v>14</v>
      </c>
      <c r="D61" s="2">
        <v>2</v>
      </c>
      <c r="E61" s="2">
        <v>59</v>
      </c>
      <c r="F61" s="2">
        <v>290</v>
      </c>
      <c r="G61" s="2" t="s">
        <v>2</v>
      </c>
      <c r="H61" s="2">
        <v>371000</v>
      </c>
      <c r="I61" s="5" t="s">
        <v>41</v>
      </c>
      <c r="J61" s="2">
        <v>1.4784999999999999</v>
      </c>
      <c r="K61" s="2">
        <v>1.4784999999999999</v>
      </c>
      <c r="L61" s="2">
        <v>0.91400000000000003</v>
      </c>
      <c r="M61" s="2">
        <v>1.8280000000000001</v>
      </c>
      <c r="N61" s="7">
        <v>8088.0743982494523</v>
      </c>
      <c r="O61" s="3" t="s">
        <v>41</v>
      </c>
      <c r="P61" s="3" t="s">
        <v>41</v>
      </c>
      <c r="Q61" s="3" t="s">
        <v>41</v>
      </c>
      <c r="R61" s="3" t="s">
        <v>41</v>
      </c>
      <c r="S61" s="14" t="s">
        <v>41</v>
      </c>
      <c r="T61" s="11" t="s">
        <v>41</v>
      </c>
      <c r="U61" s="3">
        <v>0.45613797768008119</v>
      </c>
      <c r="V61" s="9">
        <v>3689.277899343545</v>
      </c>
      <c r="W61" s="7">
        <v>3689.2778993435445</v>
      </c>
      <c r="X61" s="14">
        <v>0.45613797768008113</v>
      </c>
      <c r="Y61" s="3" t="s">
        <v>41</v>
      </c>
      <c r="Z61" s="3" t="s">
        <v>41</v>
      </c>
      <c r="AA61" s="3">
        <f t="shared" si="0"/>
        <v>63.184184712895195</v>
      </c>
    </row>
    <row r="62" spans="1:27" x14ac:dyDescent="0.25">
      <c r="A62" s="2">
        <v>4</v>
      </c>
      <c r="B62" s="2" t="s">
        <v>4</v>
      </c>
      <c r="C62" s="2" t="s">
        <v>14</v>
      </c>
      <c r="D62" s="2">
        <v>2</v>
      </c>
      <c r="E62" s="2">
        <v>60</v>
      </c>
      <c r="F62" s="2">
        <v>290</v>
      </c>
      <c r="G62" s="2" t="s">
        <v>2</v>
      </c>
      <c r="H62" s="2">
        <v>371000</v>
      </c>
      <c r="I62" s="5">
        <v>0.15109</v>
      </c>
      <c r="J62" s="2">
        <v>1.1355</v>
      </c>
      <c r="K62" s="2">
        <v>1.2865899999999999</v>
      </c>
      <c r="L62" s="2">
        <v>0.91400000000000003</v>
      </c>
      <c r="M62" s="2">
        <v>1.8280000000000001</v>
      </c>
      <c r="N62" s="7">
        <v>7038.2385120350109</v>
      </c>
      <c r="O62" s="3">
        <v>13.974925895893232</v>
      </c>
      <c r="P62" s="3">
        <v>27.949851791786465</v>
      </c>
      <c r="Q62" s="3">
        <v>2463.7794354459706</v>
      </c>
      <c r="R62" s="3">
        <v>4532.5342989013607</v>
      </c>
      <c r="S62" s="14">
        <v>0.47388973459527434</v>
      </c>
      <c r="T62" s="11">
        <v>3335.3489804865098</v>
      </c>
      <c r="U62" s="3">
        <v>0.45891677675033016</v>
      </c>
      <c r="V62" s="9">
        <v>3229.9657319431471</v>
      </c>
      <c r="W62" s="7">
        <v>3242.34135667396</v>
      </c>
      <c r="X62" s="14">
        <v>0.46067511794744237</v>
      </c>
      <c r="Y62" s="3">
        <v>66.294000000000011</v>
      </c>
      <c r="Z62" s="3">
        <v>13.8</v>
      </c>
      <c r="AA62" s="3">
        <f t="shared" si="0"/>
        <v>55.529754269473571</v>
      </c>
    </row>
    <row r="63" spans="1:27" x14ac:dyDescent="0.25">
      <c r="A63" s="2">
        <v>4</v>
      </c>
      <c r="B63" s="2" t="s">
        <v>3</v>
      </c>
      <c r="C63" s="2" t="s">
        <v>14</v>
      </c>
      <c r="D63" s="2">
        <v>3</v>
      </c>
      <c r="E63" s="2">
        <v>61</v>
      </c>
      <c r="F63" s="2">
        <v>290</v>
      </c>
      <c r="G63" s="2" t="s">
        <v>2</v>
      </c>
      <c r="H63" s="2">
        <v>371000</v>
      </c>
      <c r="I63" s="5">
        <v>0.25519000000000003</v>
      </c>
      <c r="J63" s="2">
        <v>1.4815</v>
      </c>
      <c r="K63" s="2">
        <v>1.7366900000000001</v>
      </c>
      <c r="L63" s="2">
        <v>0.91400000000000003</v>
      </c>
      <c r="M63" s="2">
        <v>1.8280000000000001</v>
      </c>
      <c r="N63" s="7">
        <v>9500.4923413566739</v>
      </c>
      <c r="O63" s="3">
        <v>0</v>
      </c>
      <c r="P63" s="3">
        <v>0</v>
      </c>
      <c r="Q63" s="3">
        <v>2192.4213095438472</v>
      </c>
      <c r="R63" s="3">
        <v>7308.0710318128258</v>
      </c>
      <c r="S63" s="14">
        <v>0.57447392139190412</v>
      </c>
      <c r="T63" s="11">
        <v>5457.785090492921</v>
      </c>
      <c r="U63" s="3">
        <v>0.47512656091798849</v>
      </c>
      <c r="V63" s="9">
        <v>4513.9362531764846</v>
      </c>
      <c r="W63" s="7">
        <v>4652.6258205689273</v>
      </c>
      <c r="X63" s="14">
        <v>0.48972470619396663</v>
      </c>
      <c r="Y63" s="3">
        <v>92.456000000000003</v>
      </c>
      <c r="Z63" s="3">
        <v>20.2</v>
      </c>
      <c r="AA63" s="3">
        <f t="shared" si="0"/>
        <v>79.68290198445635</v>
      </c>
    </row>
    <row r="64" spans="1:27" x14ac:dyDescent="0.25">
      <c r="A64" s="2">
        <v>4</v>
      </c>
      <c r="B64" s="2" t="s">
        <v>0</v>
      </c>
      <c r="C64" s="2" t="s">
        <v>14</v>
      </c>
      <c r="D64" s="2">
        <v>3</v>
      </c>
      <c r="E64" s="2">
        <v>62</v>
      </c>
      <c r="F64" s="2">
        <v>287</v>
      </c>
      <c r="G64" s="2" t="s">
        <v>2</v>
      </c>
      <c r="H64" s="2">
        <v>371000</v>
      </c>
      <c r="I64" s="5">
        <v>0.17719000000000001</v>
      </c>
      <c r="J64" s="2">
        <v>1.2885</v>
      </c>
      <c r="K64" s="2">
        <v>1.4656899999999999</v>
      </c>
      <c r="L64" s="2">
        <v>0.91400000000000003</v>
      </c>
      <c r="M64" s="2">
        <v>1.8280000000000001</v>
      </c>
      <c r="N64" s="7">
        <v>8017.9978118161916</v>
      </c>
      <c r="O64" s="3">
        <v>0</v>
      </c>
      <c r="P64" s="3">
        <v>0</v>
      </c>
      <c r="Q64" s="3">
        <v>1624.0529457987645</v>
      </c>
      <c r="R64" s="3">
        <v>6393.9448660174276</v>
      </c>
      <c r="S64" s="14">
        <v>0.5604153733280659</v>
      </c>
      <c r="T64" s="11">
        <v>4493.4092370525868</v>
      </c>
      <c r="U64" s="3">
        <v>0.51664726426076835</v>
      </c>
      <c r="V64" s="9">
        <v>4142.4766343236624</v>
      </c>
      <c r="W64" s="7">
        <v>4184.9015317286648</v>
      </c>
      <c r="X64" s="14">
        <v>0.5219384726647518</v>
      </c>
      <c r="Y64" s="3">
        <v>77.724000000000004</v>
      </c>
      <c r="Z64" s="3">
        <v>17</v>
      </c>
      <c r="AA64" s="3">
        <f t="shared" si="0"/>
        <v>71.672451520410476</v>
      </c>
    </row>
    <row r="65" spans="1:27" x14ac:dyDescent="0.25">
      <c r="A65" s="2">
        <v>4</v>
      </c>
      <c r="B65" s="2" t="s">
        <v>9</v>
      </c>
      <c r="C65" s="2" t="s">
        <v>14</v>
      </c>
      <c r="D65" s="2">
        <v>3</v>
      </c>
      <c r="E65" s="2">
        <v>63</v>
      </c>
      <c r="F65" s="2">
        <v>287</v>
      </c>
      <c r="G65" s="2" t="s">
        <v>2</v>
      </c>
      <c r="H65" s="2">
        <v>371000</v>
      </c>
      <c r="I65" s="5" t="s">
        <v>41</v>
      </c>
      <c r="J65" s="2">
        <v>1.7635000000000001</v>
      </c>
      <c r="K65" s="2">
        <v>1.7635000000000001</v>
      </c>
      <c r="L65" s="2">
        <v>0.91400000000000003</v>
      </c>
      <c r="M65" s="2">
        <v>1.8280000000000001</v>
      </c>
      <c r="N65" s="7">
        <v>9647.155361050327</v>
      </c>
      <c r="O65" s="3" t="s">
        <v>41</v>
      </c>
      <c r="P65" s="3" t="s">
        <v>41</v>
      </c>
      <c r="Q65" s="3" t="s">
        <v>41</v>
      </c>
      <c r="R65" s="3" t="s">
        <v>41</v>
      </c>
      <c r="S65" s="14" t="s">
        <v>41</v>
      </c>
      <c r="T65" s="11" t="s">
        <v>41</v>
      </c>
      <c r="U65" s="3">
        <v>0.46129855401190811</v>
      </c>
      <c r="V65" s="9">
        <v>4450.218818380743</v>
      </c>
      <c r="W65" s="7">
        <v>4450.2188183807439</v>
      </c>
      <c r="X65" s="14">
        <v>0.46129855401190817</v>
      </c>
      <c r="Y65" s="3" t="s">
        <v>41</v>
      </c>
      <c r="Z65" s="3" t="s">
        <v>41</v>
      </c>
      <c r="AA65" s="3">
        <f t="shared" si="0"/>
        <v>76.216391257325384</v>
      </c>
    </row>
    <row r="66" spans="1:27" x14ac:dyDescent="0.25">
      <c r="A66" s="2">
        <v>4</v>
      </c>
      <c r="B66" s="2" t="s">
        <v>10</v>
      </c>
      <c r="C66" s="2" t="s">
        <v>14</v>
      </c>
      <c r="D66" s="2">
        <v>3</v>
      </c>
      <c r="E66" s="2">
        <v>64</v>
      </c>
      <c r="F66" s="2">
        <v>274</v>
      </c>
      <c r="G66" s="2" t="s">
        <v>2</v>
      </c>
      <c r="H66" s="2">
        <v>371000</v>
      </c>
      <c r="I66" s="5">
        <v>0.26379000000000002</v>
      </c>
      <c r="J66" s="2">
        <v>0.86750000000000005</v>
      </c>
      <c r="K66" s="2">
        <v>1.1312900000000001</v>
      </c>
      <c r="L66" s="2">
        <v>0.91400000000000003</v>
      </c>
      <c r="M66" s="2">
        <v>1.8280000000000001</v>
      </c>
      <c r="N66" s="7">
        <v>6188.6761487964995</v>
      </c>
      <c r="O66" s="3">
        <v>0</v>
      </c>
      <c r="P66" s="3">
        <v>107.91883803200996</v>
      </c>
      <c r="Q66" s="3">
        <v>1592.7412856506855</v>
      </c>
      <c r="R66" s="3">
        <v>4488.0160251138041</v>
      </c>
      <c r="S66" s="14">
        <v>0.44618825580954541</v>
      </c>
      <c r="T66" s="11">
        <v>2761.314616601645</v>
      </c>
      <c r="U66" s="3">
        <v>0.48772334293948127</v>
      </c>
      <c r="V66" s="9">
        <v>3018.3618196608636</v>
      </c>
      <c r="W66" s="7">
        <v>2958.4245076586435</v>
      </c>
      <c r="X66" s="14">
        <v>0.47803834560545921</v>
      </c>
      <c r="Y66" s="3">
        <v>52.324000000000005</v>
      </c>
      <c r="Z66" s="3">
        <v>14.2</v>
      </c>
      <c r="AA66" s="3">
        <f t="shared" si="0"/>
        <v>50.667270303579066</v>
      </c>
    </row>
    <row r="67" spans="1:27" x14ac:dyDescent="0.25">
      <c r="A67" s="2">
        <v>4</v>
      </c>
      <c r="B67" s="2" t="s">
        <v>13</v>
      </c>
      <c r="C67" s="2" t="s">
        <v>14</v>
      </c>
      <c r="D67" s="2">
        <v>3</v>
      </c>
      <c r="E67" s="2">
        <v>65</v>
      </c>
      <c r="F67" s="2">
        <v>270</v>
      </c>
      <c r="G67" s="2" t="s">
        <v>2</v>
      </c>
      <c r="H67" s="2">
        <v>371000</v>
      </c>
      <c r="I67" s="5" t="s">
        <v>41</v>
      </c>
      <c r="J67" s="2">
        <v>1.5185</v>
      </c>
      <c r="K67" s="2">
        <v>1.5185</v>
      </c>
      <c r="L67" s="2">
        <v>0.91400000000000003</v>
      </c>
      <c r="M67" s="2">
        <v>1.8280000000000001</v>
      </c>
      <c r="N67" s="7">
        <v>8306.8927789934351</v>
      </c>
      <c r="O67" s="3" t="s">
        <v>41</v>
      </c>
      <c r="P67" s="3" t="s">
        <v>41</v>
      </c>
      <c r="Q67" s="3" t="s">
        <v>41</v>
      </c>
      <c r="R67" s="3" t="s">
        <v>41</v>
      </c>
      <c r="S67" s="14" t="s">
        <v>41</v>
      </c>
      <c r="T67" s="11" t="s">
        <v>41</v>
      </c>
      <c r="U67" s="3">
        <v>0.48653276259466571</v>
      </c>
      <c r="V67" s="9">
        <v>4041.575492341356</v>
      </c>
      <c r="W67" s="7">
        <v>4041.575492341356</v>
      </c>
      <c r="X67" s="14">
        <v>0.48653276259466571</v>
      </c>
      <c r="Y67" s="3" t="s">
        <v>41</v>
      </c>
      <c r="Z67" s="3" t="s">
        <v>41</v>
      </c>
      <c r="AA67" s="3">
        <f t="shared" ref="AA67:AA73" si="1">W67*0.0149/0.87</f>
        <v>69.217787167685287</v>
      </c>
    </row>
    <row r="68" spans="1:27" x14ac:dyDescent="0.25">
      <c r="A68" s="2">
        <v>4</v>
      </c>
      <c r="B68" s="2" t="s">
        <v>12</v>
      </c>
      <c r="C68" s="2" t="s">
        <v>14</v>
      </c>
      <c r="D68" s="2">
        <v>3</v>
      </c>
      <c r="E68" s="2">
        <v>66</v>
      </c>
      <c r="F68" s="2">
        <v>270</v>
      </c>
      <c r="G68" s="2" t="s">
        <v>2</v>
      </c>
      <c r="H68" s="2">
        <v>371000</v>
      </c>
      <c r="I68" s="5">
        <v>0.19179000000000002</v>
      </c>
      <c r="J68" s="2">
        <v>0.9415</v>
      </c>
      <c r="K68" s="2">
        <v>1.1332900000000001</v>
      </c>
      <c r="L68" s="2">
        <v>0.91400000000000003</v>
      </c>
      <c r="M68" s="2">
        <v>1.8280000000000001</v>
      </c>
      <c r="N68" s="7">
        <v>6199.6170678336985</v>
      </c>
      <c r="O68" s="3">
        <v>0</v>
      </c>
      <c r="P68" s="3">
        <v>19.395016636426444</v>
      </c>
      <c r="Q68" s="3">
        <v>1806.6457996831189</v>
      </c>
      <c r="R68" s="3">
        <v>4373.5762515141532</v>
      </c>
      <c r="S68" s="14">
        <v>0.43276500338912349</v>
      </c>
      <c r="T68" s="11">
        <v>2682.9773013723184</v>
      </c>
      <c r="U68" s="3">
        <v>0.43037705788635156</v>
      </c>
      <c r="V68" s="9">
        <v>2668.1729536762768</v>
      </c>
      <c r="W68" s="7">
        <v>2670.6783369803061</v>
      </c>
      <c r="X68" s="14">
        <v>0.43078117692735302</v>
      </c>
      <c r="Y68" s="3">
        <v>60.452000000000005</v>
      </c>
      <c r="Z68" s="3">
        <v>17</v>
      </c>
      <c r="AA68" s="3">
        <f t="shared" si="1"/>
        <v>45.739203702306391</v>
      </c>
    </row>
    <row r="69" spans="1:27" x14ac:dyDescent="0.25">
      <c r="A69" s="2">
        <v>4</v>
      </c>
      <c r="B69" s="2" t="s">
        <v>11</v>
      </c>
      <c r="C69" s="2" t="s">
        <v>14</v>
      </c>
      <c r="D69" s="2">
        <v>3</v>
      </c>
      <c r="E69" s="2">
        <v>67</v>
      </c>
      <c r="F69" s="2">
        <v>270</v>
      </c>
      <c r="G69" s="2" t="s">
        <v>2</v>
      </c>
      <c r="H69" s="2">
        <v>371000</v>
      </c>
      <c r="I69" s="5">
        <v>0.16319</v>
      </c>
      <c r="J69" s="2">
        <v>0.97550000000000003</v>
      </c>
      <c r="K69" s="2">
        <v>1.13869</v>
      </c>
      <c r="L69" s="2">
        <v>0.91400000000000003</v>
      </c>
      <c r="M69" s="2">
        <v>1.8280000000000001</v>
      </c>
      <c r="N69" s="7">
        <v>6229.1575492341353</v>
      </c>
      <c r="O69" s="3">
        <v>0</v>
      </c>
      <c r="P69" s="3">
        <v>0</v>
      </c>
      <c r="Q69" s="3">
        <v>2095.2169733284004</v>
      </c>
      <c r="R69" s="3">
        <v>4133.9405759057345</v>
      </c>
      <c r="S69" s="14">
        <v>0.38911698020712054</v>
      </c>
      <c r="T69" s="11">
        <v>2423.8709747923745</v>
      </c>
      <c r="U69" s="3">
        <v>0.39261916965658639</v>
      </c>
      <c r="V69" s="9">
        <v>2445.6866646403628</v>
      </c>
      <c r="W69" s="7">
        <v>2442.5601750547044</v>
      </c>
      <c r="X69" s="14">
        <v>0.39211725755034293</v>
      </c>
      <c r="Y69" s="3">
        <v>77.215999999999994</v>
      </c>
      <c r="Z69" s="3">
        <v>15.6</v>
      </c>
      <c r="AA69" s="3">
        <f t="shared" si="1"/>
        <v>41.832352423350684</v>
      </c>
    </row>
    <row r="70" spans="1:27" x14ac:dyDescent="0.25">
      <c r="A70" s="2">
        <v>4</v>
      </c>
      <c r="B70" s="2" t="s">
        <v>4</v>
      </c>
      <c r="C70" s="2" t="s">
        <v>14</v>
      </c>
      <c r="D70" s="2">
        <v>3</v>
      </c>
      <c r="E70" s="2">
        <v>68</v>
      </c>
      <c r="F70" s="2">
        <v>290</v>
      </c>
      <c r="G70" s="2" t="s">
        <v>2</v>
      </c>
      <c r="H70" s="2">
        <v>371000</v>
      </c>
      <c r="I70" s="5">
        <v>0.19579000000000002</v>
      </c>
      <c r="J70" s="2">
        <v>1.3774999999999999</v>
      </c>
      <c r="K70" s="2">
        <v>1.5732900000000001</v>
      </c>
      <c r="L70" s="2">
        <v>0.91400000000000003</v>
      </c>
      <c r="M70" s="2">
        <v>1.8280000000000001</v>
      </c>
      <c r="N70" s="7">
        <v>8606.6192560175059</v>
      </c>
      <c r="O70" s="3">
        <v>0</v>
      </c>
      <c r="P70" s="3">
        <v>70.333473668869814</v>
      </c>
      <c r="Q70" s="3">
        <v>2632.6698362678808</v>
      </c>
      <c r="R70" s="3">
        <v>5903.6159460807548</v>
      </c>
      <c r="S70" s="14">
        <v>0.4831707441646661</v>
      </c>
      <c r="T70" s="11">
        <v>4158.4666306719237</v>
      </c>
      <c r="U70" s="3">
        <v>0.51034482758620692</v>
      </c>
      <c r="V70" s="9">
        <v>4392.3436203123829</v>
      </c>
      <c r="W70" s="7">
        <v>4363.2385120350109</v>
      </c>
      <c r="X70" s="14">
        <v>0.50696311550953732</v>
      </c>
      <c r="Y70" s="3">
        <v>72.39</v>
      </c>
      <c r="Z70" s="3">
        <v>14.4</v>
      </c>
      <c r="AA70" s="3">
        <f t="shared" si="1"/>
        <v>74.726728539450193</v>
      </c>
    </row>
    <row r="71" spans="1:27" x14ac:dyDescent="0.25">
      <c r="A71" s="2">
        <v>4</v>
      </c>
      <c r="B71" s="2" t="s">
        <v>5</v>
      </c>
      <c r="C71" s="2" t="s">
        <v>14</v>
      </c>
      <c r="D71" s="2">
        <v>3</v>
      </c>
      <c r="E71" s="2">
        <v>69</v>
      </c>
      <c r="F71" s="2">
        <v>290</v>
      </c>
      <c r="G71" s="2" t="s">
        <v>2</v>
      </c>
      <c r="H71" s="2">
        <v>371000</v>
      </c>
      <c r="I71" s="5">
        <v>0.20618999999999998</v>
      </c>
      <c r="J71" s="2">
        <v>1.0805</v>
      </c>
      <c r="K71" s="2">
        <v>1.2866900000000001</v>
      </c>
      <c r="L71" s="2">
        <v>0.91400000000000003</v>
      </c>
      <c r="M71" s="2">
        <v>1.8280000000000001</v>
      </c>
      <c r="N71" s="7">
        <v>7038.785557986871</v>
      </c>
      <c r="O71" s="3">
        <v>0</v>
      </c>
      <c r="P71" s="3">
        <v>0</v>
      </c>
      <c r="Q71" s="3">
        <v>2795.5097208571947</v>
      </c>
      <c r="R71" s="3">
        <v>4243.2758371296768</v>
      </c>
      <c r="S71" s="14">
        <v>0.39963140792472956</v>
      </c>
      <c r="T71" s="11">
        <v>2812.9197826185464</v>
      </c>
      <c r="U71" s="3">
        <v>0.44775566867191113</v>
      </c>
      <c r="V71" s="9">
        <v>3151.6561341546026</v>
      </c>
      <c r="W71" s="7">
        <v>3097.3741794310722</v>
      </c>
      <c r="X71" s="14">
        <v>0.44004383340198494</v>
      </c>
      <c r="Y71" s="3">
        <v>96.012</v>
      </c>
      <c r="Z71" s="3">
        <v>26.8</v>
      </c>
      <c r="AA71" s="3">
        <f t="shared" si="1"/>
        <v>53.046983073014914</v>
      </c>
    </row>
    <row r="72" spans="1:27" x14ac:dyDescent="0.25">
      <c r="A72" s="2">
        <v>4</v>
      </c>
      <c r="B72" s="2" t="s">
        <v>7</v>
      </c>
      <c r="C72" s="2" t="s">
        <v>14</v>
      </c>
      <c r="D72" s="2">
        <v>3</v>
      </c>
      <c r="E72" s="2">
        <v>70</v>
      </c>
      <c r="F72" s="2">
        <v>290</v>
      </c>
      <c r="G72" s="2" t="s">
        <v>2</v>
      </c>
      <c r="H72" s="2">
        <v>371000</v>
      </c>
      <c r="I72" s="5" t="s">
        <v>41</v>
      </c>
      <c r="J72" s="2">
        <v>1.3165</v>
      </c>
      <c r="K72" s="2">
        <v>1.3165</v>
      </c>
      <c r="L72" s="2">
        <v>0.91400000000000003</v>
      </c>
      <c r="M72" s="2">
        <v>1.8280000000000001</v>
      </c>
      <c r="N72" s="7">
        <v>7201.8599562363233</v>
      </c>
      <c r="O72" s="3" t="s">
        <v>41</v>
      </c>
      <c r="P72" s="3" t="s">
        <v>41</v>
      </c>
      <c r="Q72" s="3" t="s">
        <v>41</v>
      </c>
      <c r="R72" s="3" t="s">
        <v>41</v>
      </c>
      <c r="S72" s="14" t="s">
        <v>41</v>
      </c>
      <c r="T72" s="11" t="s">
        <v>41</v>
      </c>
      <c r="U72" s="3">
        <v>0.50018989745537412</v>
      </c>
      <c r="V72" s="9">
        <v>3602.2975929978115</v>
      </c>
      <c r="W72" s="7">
        <v>3602.2975929978115</v>
      </c>
      <c r="X72" s="14">
        <v>0.50018989745537412</v>
      </c>
      <c r="Y72" s="3" t="s">
        <v>41</v>
      </c>
      <c r="Z72" s="3" t="s">
        <v>41</v>
      </c>
      <c r="AA72" s="3">
        <f t="shared" si="1"/>
        <v>61.69452199501999</v>
      </c>
    </row>
    <row r="73" spans="1:27" x14ac:dyDescent="0.25">
      <c r="A73" s="2">
        <v>4</v>
      </c>
      <c r="B73" s="2" t="s">
        <v>6</v>
      </c>
      <c r="C73" s="2" t="s">
        <v>14</v>
      </c>
      <c r="D73" s="2">
        <v>3</v>
      </c>
      <c r="E73" s="2">
        <v>71</v>
      </c>
      <c r="F73" s="2">
        <v>287</v>
      </c>
      <c r="G73" s="2" t="s">
        <v>2</v>
      </c>
      <c r="H73" s="2">
        <v>371000</v>
      </c>
      <c r="I73" s="5">
        <v>0.14149</v>
      </c>
      <c r="J73" s="2">
        <v>1.4724999999999999</v>
      </c>
      <c r="K73" s="2">
        <v>1.6139899999999998</v>
      </c>
      <c r="L73" s="2">
        <v>0.91400000000000003</v>
      </c>
      <c r="M73" s="2">
        <v>1.8280000000000001</v>
      </c>
      <c r="N73" s="7">
        <v>8829.2669584245068</v>
      </c>
      <c r="O73" s="3">
        <v>205.92678608241488</v>
      </c>
      <c r="P73" s="3">
        <v>0</v>
      </c>
      <c r="Q73" s="3">
        <v>3487.6509315594435</v>
      </c>
      <c r="R73" s="3">
        <v>5135.6892407826481</v>
      </c>
      <c r="S73" s="14">
        <v>0.41840412750017669</v>
      </c>
      <c r="T73" s="11">
        <v>3694.2017382057447</v>
      </c>
      <c r="U73" s="3">
        <v>0.46689303904923601</v>
      </c>
      <c r="V73" s="9">
        <v>4122.3232827958227</v>
      </c>
      <c r="W73" s="7">
        <v>4084.7921225382929</v>
      </c>
      <c r="X73" s="14">
        <v>0.46264227163737076</v>
      </c>
      <c r="Y73" s="3">
        <v>93.725999999999999</v>
      </c>
      <c r="Z73" s="3">
        <v>17.8</v>
      </c>
      <c r="AA73" s="3">
        <f t="shared" si="1"/>
        <v>69.957934052667312</v>
      </c>
    </row>
    <row r="74" spans="1:27" x14ac:dyDescent="0.25">
      <c r="A74" s="2">
        <v>4</v>
      </c>
      <c r="B74" s="2" t="s">
        <v>8</v>
      </c>
      <c r="C74" s="2" t="s">
        <v>14</v>
      </c>
      <c r="D74" s="2">
        <v>3</v>
      </c>
      <c r="E74" s="2">
        <v>72</v>
      </c>
      <c r="F74" s="2">
        <v>290</v>
      </c>
      <c r="G74" s="2" t="s">
        <v>2</v>
      </c>
      <c r="H74" s="2">
        <v>371000</v>
      </c>
      <c r="I74" s="5" t="s">
        <v>41</v>
      </c>
      <c r="J74" s="2">
        <v>1.4435</v>
      </c>
      <c r="K74" s="2">
        <v>1.4435</v>
      </c>
      <c r="L74" s="2">
        <v>0.91400000000000003</v>
      </c>
      <c r="M74" s="2">
        <v>1.8280000000000001</v>
      </c>
      <c r="N74" s="7">
        <v>7896.6083150984678</v>
      </c>
      <c r="O74" s="3" t="s">
        <v>41</v>
      </c>
      <c r="P74" s="3" t="s">
        <v>41</v>
      </c>
      <c r="Q74" s="3" t="s">
        <v>41</v>
      </c>
      <c r="R74" s="3" t="s">
        <v>41</v>
      </c>
      <c r="S74" s="14" t="s">
        <v>41</v>
      </c>
      <c r="T74" s="11" t="s">
        <v>41</v>
      </c>
      <c r="U74" s="3">
        <v>0.42362313820574993</v>
      </c>
      <c r="V74" s="9">
        <v>3345.1859956236322</v>
      </c>
      <c r="W74" s="7">
        <v>3345.1859956236322</v>
      </c>
      <c r="X74" s="14">
        <v>0.42362313820574993</v>
      </c>
      <c r="Y74" s="3" t="s">
        <v>41</v>
      </c>
      <c r="Z74" s="3" t="s">
        <v>41</v>
      </c>
      <c r="AA74" s="3">
        <f>W74*0.0149/0.87</f>
        <v>57.291116476772551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40D5-5014-4B17-B5B7-D658ABB5C33D}">
  <dimension ref="A1:AH75"/>
  <sheetViews>
    <sheetView topLeftCell="A64" workbookViewId="0">
      <selection activeCell="AJ8" sqref="AJ8"/>
    </sheetView>
  </sheetViews>
  <sheetFormatPr defaultRowHeight="15" x14ac:dyDescent="0.25"/>
  <cols>
    <col min="1" max="1" width="15.140625" style="16" customWidth="1"/>
    <col min="2" max="2" width="10.42578125" style="16" customWidth="1"/>
    <col min="3" max="3" width="6.85546875" style="16" customWidth="1"/>
    <col min="4" max="4" width="5.42578125" style="16" customWidth="1"/>
    <col min="5" max="5" width="8.5703125" style="17" customWidth="1"/>
    <col min="6" max="6" width="8" style="17" customWidth="1"/>
    <col min="8" max="8" width="11" customWidth="1"/>
    <col min="9" max="9" width="12.5703125" customWidth="1"/>
    <col min="13" max="13" width="10.85546875" customWidth="1"/>
    <col min="17" max="17" width="14.140625" customWidth="1"/>
    <col min="18" max="18" width="16.7109375" style="1" customWidth="1"/>
    <col min="19" max="22" width="9.140625" style="1"/>
    <col min="23" max="23" width="12.28515625" style="30" customWidth="1"/>
    <col min="24" max="33" width="9.140625" style="30"/>
    <col min="34" max="34" width="11.7109375" style="30" customWidth="1"/>
  </cols>
  <sheetData>
    <row r="1" spans="1:34" ht="15.75" thickBot="1" x14ac:dyDescent="0.3">
      <c r="A1" s="61" t="s">
        <v>100</v>
      </c>
      <c r="H1" s="154" t="s">
        <v>101</v>
      </c>
      <c r="I1" s="155"/>
      <c r="J1" s="155"/>
      <c r="K1" s="155"/>
      <c r="L1" s="143"/>
      <c r="M1" s="144"/>
    </row>
    <row r="2" spans="1:34" s="62" customFormat="1" ht="45" x14ac:dyDescent="0.25">
      <c r="A2" s="61" t="s">
        <v>16</v>
      </c>
      <c r="B2" s="61" t="s">
        <v>17</v>
      </c>
      <c r="C2" s="61" t="s">
        <v>18</v>
      </c>
      <c r="D2" s="61" t="s">
        <v>20</v>
      </c>
      <c r="E2" s="58" t="s">
        <v>33</v>
      </c>
      <c r="F2" s="58" t="s">
        <v>42</v>
      </c>
      <c r="H2" s="156" t="s">
        <v>16</v>
      </c>
      <c r="I2" s="157" t="s">
        <v>17</v>
      </c>
      <c r="J2" s="157" t="s">
        <v>18</v>
      </c>
      <c r="K2" s="157" t="s">
        <v>20</v>
      </c>
      <c r="L2" s="158" t="s">
        <v>33</v>
      </c>
      <c r="M2" s="159" t="s">
        <v>42</v>
      </c>
      <c r="R2" s="168" t="s">
        <v>16</v>
      </c>
      <c r="S2" s="169" t="s">
        <v>17</v>
      </c>
      <c r="T2" s="169" t="s">
        <v>18</v>
      </c>
      <c r="U2" s="169" t="s">
        <v>20</v>
      </c>
      <c r="V2" s="169" t="s">
        <v>28</v>
      </c>
      <c r="W2" s="169" t="s">
        <v>29</v>
      </c>
      <c r="X2" s="169" t="s">
        <v>30</v>
      </c>
      <c r="Y2" s="169" t="s">
        <v>31</v>
      </c>
      <c r="Z2" s="169" t="s">
        <v>32</v>
      </c>
      <c r="AA2" s="169" t="s">
        <v>33</v>
      </c>
      <c r="AB2" s="169" t="s">
        <v>34</v>
      </c>
      <c r="AC2" s="169" t="s">
        <v>35</v>
      </c>
      <c r="AD2" s="169" t="s">
        <v>36</v>
      </c>
      <c r="AE2" s="169" t="s">
        <v>37</v>
      </c>
      <c r="AF2" s="169" t="s">
        <v>42</v>
      </c>
      <c r="AG2" s="169" t="s">
        <v>38</v>
      </c>
      <c r="AH2" s="170" t="s">
        <v>39</v>
      </c>
    </row>
    <row r="3" spans="1:34" x14ac:dyDescent="0.25">
      <c r="A3" s="16" t="s">
        <v>0</v>
      </c>
      <c r="B3" s="16" t="s">
        <v>1</v>
      </c>
      <c r="C3" s="16">
        <v>1</v>
      </c>
      <c r="D3" s="16">
        <v>280</v>
      </c>
      <c r="E3" s="17">
        <v>0.47235783084839689</v>
      </c>
      <c r="F3" s="17">
        <v>0.40464620817464131</v>
      </c>
      <c r="H3" s="160" t="s">
        <v>0</v>
      </c>
      <c r="I3" s="16" t="s">
        <v>14</v>
      </c>
      <c r="J3" s="16">
        <v>1</v>
      </c>
      <c r="K3" s="16">
        <v>287</v>
      </c>
      <c r="L3" s="17">
        <v>0.51842764947463871</v>
      </c>
      <c r="M3" s="161">
        <v>0.46286804391068509</v>
      </c>
      <c r="R3" s="17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72"/>
    </row>
    <row r="4" spans="1:34" x14ac:dyDescent="0.25">
      <c r="A4" s="16" t="s">
        <v>0</v>
      </c>
      <c r="B4" s="16" t="s">
        <v>1</v>
      </c>
      <c r="C4" s="16">
        <v>2</v>
      </c>
      <c r="D4" s="16">
        <v>284</v>
      </c>
      <c r="E4" s="17">
        <v>0.59624285325347137</v>
      </c>
      <c r="F4" s="17">
        <v>0.48453741962978752</v>
      </c>
      <c r="H4" s="160" t="s">
        <v>0</v>
      </c>
      <c r="I4" s="16" t="s">
        <v>14</v>
      </c>
      <c r="J4" s="16">
        <v>2</v>
      </c>
      <c r="K4" s="16">
        <v>287</v>
      </c>
      <c r="L4" s="17">
        <v>0.30544039258820538</v>
      </c>
      <c r="M4" s="161">
        <v>0.49414635034502841</v>
      </c>
      <c r="R4" s="171" t="s">
        <v>0</v>
      </c>
      <c r="S4" s="1" t="s">
        <v>1</v>
      </c>
      <c r="T4" s="1">
        <v>1</v>
      </c>
      <c r="U4" s="1">
        <v>280</v>
      </c>
      <c r="V4" s="175">
        <v>3748.8512035010899</v>
      </c>
      <c r="W4" s="175">
        <v>0</v>
      </c>
      <c r="X4" s="175">
        <v>79.141864699851652</v>
      </c>
      <c r="Y4" s="175">
        <v>983.83230555003001</v>
      </c>
      <c r="Z4" s="175">
        <v>2685.8770332512127</v>
      </c>
      <c r="AA4" s="175">
        <v>0.47235783084839689</v>
      </c>
      <c r="AB4" s="175">
        <v>1770.7992226591791</v>
      </c>
      <c r="AC4" s="175">
        <v>0.39622641509433959</v>
      </c>
      <c r="AD4" s="175">
        <v>1485.3938730853392</v>
      </c>
      <c r="AE4" s="175">
        <v>1516.9584245076585</v>
      </c>
      <c r="AF4" s="175">
        <v>0.40464620817464131</v>
      </c>
      <c r="AG4" s="175">
        <v>48.006</v>
      </c>
      <c r="AH4" s="176">
        <v>13</v>
      </c>
    </row>
    <row r="5" spans="1:34" x14ac:dyDescent="0.25">
      <c r="A5" s="16" t="s">
        <v>0</v>
      </c>
      <c r="B5" s="16" t="s">
        <v>1</v>
      </c>
      <c r="C5" s="16">
        <v>3</v>
      </c>
      <c r="D5" s="16">
        <v>284</v>
      </c>
      <c r="E5" s="17">
        <v>0.51587784401995385</v>
      </c>
      <c r="F5" s="17">
        <v>0.45631319678506616</v>
      </c>
      <c r="H5" s="160" t="s">
        <v>0</v>
      </c>
      <c r="I5" s="16" t="s">
        <v>14</v>
      </c>
      <c r="J5" s="16">
        <v>3</v>
      </c>
      <c r="K5" s="16">
        <v>287</v>
      </c>
      <c r="L5" s="17">
        <v>0.5604153733280659</v>
      </c>
      <c r="M5" s="161">
        <v>0.5219384726647518</v>
      </c>
      <c r="R5" s="171" t="s">
        <v>3</v>
      </c>
      <c r="S5" s="1" t="s">
        <v>1</v>
      </c>
      <c r="T5" s="1">
        <v>1</v>
      </c>
      <c r="U5" s="1">
        <v>274</v>
      </c>
      <c r="V5" s="175">
        <v>3147.1006564551417</v>
      </c>
      <c r="W5" s="175">
        <v>0</v>
      </c>
      <c r="X5" s="175">
        <v>18.922340854525402</v>
      </c>
      <c r="Y5" s="175">
        <v>721.88730360014233</v>
      </c>
      <c r="Z5" s="175">
        <v>2406.291012000474</v>
      </c>
      <c r="AA5" s="175">
        <v>0.52009219360657377</v>
      </c>
      <c r="AB5" s="175">
        <v>1636.782483916443</v>
      </c>
      <c r="AC5" s="175">
        <v>0.44815983175604629</v>
      </c>
      <c r="AD5" s="175">
        <v>1410.4041007162791</v>
      </c>
      <c r="AE5" s="175">
        <v>1449.671772428884</v>
      </c>
      <c r="AF5" s="175">
        <v>0.4606372438248536</v>
      </c>
      <c r="AG5" s="175">
        <v>54.940200000000004</v>
      </c>
      <c r="AH5" s="176">
        <v>15.2</v>
      </c>
    </row>
    <row r="6" spans="1:34" x14ac:dyDescent="0.25">
      <c r="A6" s="16" t="s">
        <v>0</v>
      </c>
      <c r="B6" s="16" t="s">
        <v>14</v>
      </c>
      <c r="C6" s="16">
        <v>1</v>
      </c>
      <c r="D6" s="16">
        <v>287</v>
      </c>
      <c r="E6" s="17">
        <v>0.51842764947463871</v>
      </c>
      <c r="F6" s="17">
        <v>0.46286804391068509</v>
      </c>
      <c r="H6" s="160" t="s">
        <v>3</v>
      </c>
      <c r="I6" s="16" t="s">
        <v>14</v>
      </c>
      <c r="J6" s="16">
        <v>1</v>
      </c>
      <c r="K6" s="16">
        <v>290</v>
      </c>
      <c r="L6" s="17">
        <v>0.57234704217477894</v>
      </c>
      <c r="M6" s="161">
        <v>0.50880086630002663</v>
      </c>
      <c r="R6" s="171" t="s">
        <v>4</v>
      </c>
      <c r="S6" s="1" t="s">
        <v>1</v>
      </c>
      <c r="T6" s="1">
        <v>1</v>
      </c>
      <c r="U6" s="1">
        <v>280</v>
      </c>
      <c r="V6" s="175">
        <v>3081.4551422319473</v>
      </c>
      <c r="W6" s="175">
        <v>0</v>
      </c>
      <c r="X6" s="175">
        <v>54.304749725422624</v>
      </c>
      <c r="Y6" s="175">
        <v>878.71873149449414</v>
      </c>
      <c r="Z6" s="175">
        <v>2148.4316610120304</v>
      </c>
      <c r="AA6" s="175">
        <v>0.46811322832911118</v>
      </c>
      <c r="AB6" s="175">
        <v>1442.4699145815373</v>
      </c>
      <c r="AC6" s="175">
        <v>0.42116402116402119</v>
      </c>
      <c r="AD6" s="175">
        <v>1297.7980387389578</v>
      </c>
      <c r="AE6" s="175">
        <v>1321.1159737417943</v>
      </c>
      <c r="AF6" s="175">
        <v>0.42873120417546912</v>
      </c>
      <c r="AG6" s="175">
        <v>51.308</v>
      </c>
      <c r="AH6" s="176">
        <v>12</v>
      </c>
    </row>
    <row r="7" spans="1:34" x14ac:dyDescent="0.25">
      <c r="A7" s="16" t="s">
        <v>0</v>
      </c>
      <c r="B7" s="16" t="s">
        <v>14</v>
      </c>
      <c r="C7" s="16">
        <v>2</v>
      </c>
      <c r="D7" s="16">
        <v>287</v>
      </c>
      <c r="E7" s="17">
        <v>0.30544039258820538</v>
      </c>
      <c r="F7" s="17">
        <v>0.49414635034502841</v>
      </c>
      <c r="H7" s="160" t="s">
        <v>3</v>
      </c>
      <c r="I7" s="16" t="s">
        <v>14</v>
      </c>
      <c r="J7" s="16">
        <v>2</v>
      </c>
      <c r="K7" s="16">
        <v>290</v>
      </c>
      <c r="L7" s="17">
        <v>0.52549734570218243</v>
      </c>
      <c r="M7" s="161">
        <v>0.48194149272421866</v>
      </c>
      <c r="R7" s="171" t="s">
        <v>5</v>
      </c>
      <c r="S7" s="1" t="s">
        <v>1</v>
      </c>
      <c r="T7" s="1">
        <v>1</v>
      </c>
      <c r="U7" s="1">
        <v>274</v>
      </c>
      <c r="V7" s="175">
        <v>3379.0481400437634</v>
      </c>
      <c r="W7" s="175">
        <v>0</v>
      </c>
      <c r="X7" s="175">
        <v>0</v>
      </c>
      <c r="Y7" s="175">
        <v>883.98598838232124</v>
      </c>
      <c r="Z7" s="175">
        <v>2495.0621516614419</v>
      </c>
      <c r="AA7" s="175">
        <v>0.48108462715941397</v>
      </c>
      <c r="AB7" s="175">
        <v>1625.6081146066651</v>
      </c>
      <c r="AC7" s="175">
        <v>0.41436004162330914</v>
      </c>
      <c r="AD7" s="175">
        <v>1400.1425279556991</v>
      </c>
      <c r="AE7" s="175">
        <v>1450.2188183807439</v>
      </c>
      <c r="AF7" s="175">
        <v>0.42917968560281045</v>
      </c>
      <c r="AG7" s="175">
        <v>58.674000000000007</v>
      </c>
      <c r="AH7" s="176">
        <v>19.2</v>
      </c>
    </row>
    <row r="8" spans="1:34" x14ac:dyDescent="0.25">
      <c r="A8" s="16" t="s">
        <v>0</v>
      </c>
      <c r="B8" s="16" t="s">
        <v>14</v>
      </c>
      <c r="C8" s="16">
        <v>3</v>
      </c>
      <c r="D8" s="16">
        <v>287</v>
      </c>
      <c r="E8" s="17">
        <v>0.5604153733280659</v>
      </c>
      <c r="F8" s="17">
        <v>0.5219384726647518</v>
      </c>
      <c r="H8" s="160" t="s">
        <v>3</v>
      </c>
      <c r="I8" s="16" t="s">
        <v>14</v>
      </c>
      <c r="J8" s="16">
        <v>3</v>
      </c>
      <c r="K8" s="16">
        <v>290</v>
      </c>
      <c r="L8" s="17">
        <v>0.57447392139190412</v>
      </c>
      <c r="M8" s="161">
        <v>0.48972470619396663</v>
      </c>
      <c r="R8" s="171" t="s">
        <v>6</v>
      </c>
      <c r="S8" s="1" t="s">
        <v>1</v>
      </c>
      <c r="T8" s="1">
        <v>1</v>
      </c>
      <c r="U8" s="1">
        <v>274</v>
      </c>
      <c r="V8" s="175">
        <v>531.67396061269142</v>
      </c>
      <c r="W8" s="175">
        <v>0</v>
      </c>
      <c r="X8" s="175">
        <v>0</v>
      </c>
      <c r="Y8" s="175">
        <v>125.21881838074397</v>
      </c>
      <c r="Z8" s="175">
        <v>406.45514223194738</v>
      </c>
      <c r="AA8" s="175">
        <v>0.51034057001749145</v>
      </c>
      <c r="AB8" s="175">
        <v>271.33479212253826</v>
      </c>
      <c r="AC8" s="175" t="s">
        <v>41</v>
      </c>
      <c r="AD8" s="175" t="s">
        <v>41</v>
      </c>
      <c r="AE8" s="175">
        <v>271.3347921225382</v>
      </c>
      <c r="AF8" s="175">
        <v>0.51034057001749134</v>
      </c>
      <c r="AG8" s="175">
        <v>64.262</v>
      </c>
      <c r="AH8" s="176">
        <v>19</v>
      </c>
    </row>
    <row r="9" spans="1:34" x14ac:dyDescent="0.25">
      <c r="A9" s="16" t="s">
        <v>3</v>
      </c>
      <c r="B9" s="16" t="s">
        <v>1</v>
      </c>
      <c r="C9" s="16">
        <v>1</v>
      </c>
      <c r="D9" s="16">
        <v>274</v>
      </c>
      <c r="E9" s="17">
        <v>0.52009219360657377</v>
      </c>
      <c r="F9" s="17">
        <v>0.4606372438248536</v>
      </c>
      <c r="H9" s="160" t="s">
        <v>4</v>
      </c>
      <c r="I9" s="16" t="s">
        <v>14</v>
      </c>
      <c r="J9" s="16">
        <v>1</v>
      </c>
      <c r="K9" s="16">
        <v>290</v>
      </c>
      <c r="L9" s="17">
        <v>0.53749052143271325</v>
      </c>
      <c r="M9" s="161">
        <v>0.48886124869511122</v>
      </c>
      <c r="R9" s="171" t="s">
        <v>7</v>
      </c>
      <c r="S9" s="1" t="s">
        <v>1</v>
      </c>
      <c r="T9" s="1">
        <v>1</v>
      </c>
      <c r="U9" s="1">
        <v>284</v>
      </c>
      <c r="V9" s="175">
        <v>5336.4332603938728</v>
      </c>
      <c r="W9" s="175" t="s">
        <v>41</v>
      </c>
      <c r="X9" s="175" t="s">
        <v>41</v>
      </c>
      <c r="Y9" s="175" t="s">
        <v>41</v>
      </c>
      <c r="Z9" s="175" t="s">
        <v>41</v>
      </c>
      <c r="AA9" s="175" t="s">
        <v>41</v>
      </c>
      <c r="AB9" s="175" t="s">
        <v>41</v>
      </c>
      <c r="AC9" s="175">
        <v>0.48477703741670941</v>
      </c>
      <c r="AD9" s="175">
        <v>2586.980306345733</v>
      </c>
      <c r="AE9" s="175">
        <v>2586.980306345733</v>
      </c>
      <c r="AF9" s="175">
        <v>0.48477703741670941</v>
      </c>
      <c r="AG9" s="175" t="s">
        <v>41</v>
      </c>
      <c r="AH9" s="176" t="s">
        <v>41</v>
      </c>
    </row>
    <row r="10" spans="1:34" x14ac:dyDescent="0.25">
      <c r="A10" s="16" t="s">
        <v>3</v>
      </c>
      <c r="B10" s="16" t="s">
        <v>1</v>
      </c>
      <c r="C10" s="16">
        <v>2</v>
      </c>
      <c r="D10" s="16">
        <v>274</v>
      </c>
      <c r="E10" s="17">
        <v>0.45098653304102726</v>
      </c>
      <c r="F10" s="17">
        <v>0.39444012185311694</v>
      </c>
      <c r="H10" s="160" t="s">
        <v>4</v>
      </c>
      <c r="I10" s="16" t="s">
        <v>14</v>
      </c>
      <c r="J10" s="16">
        <v>2</v>
      </c>
      <c r="K10" s="16">
        <v>290</v>
      </c>
      <c r="L10" s="17">
        <v>0.47388973459527434</v>
      </c>
      <c r="M10" s="161">
        <v>0.46067511794744237</v>
      </c>
      <c r="R10" s="171" t="s">
        <v>8</v>
      </c>
      <c r="S10" s="1" t="s">
        <v>1</v>
      </c>
      <c r="T10" s="1">
        <v>1</v>
      </c>
      <c r="U10" s="1">
        <v>284</v>
      </c>
      <c r="V10" s="175">
        <v>4171.2253829321662</v>
      </c>
      <c r="W10" s="175" t="s">
        <v>41</v>
      </c>
      <c r="X10" s="175" t="s">
        <v>41</v>
      </c>
      <c r="Y10" s="175" t="s">
        <v>41</v>
      </c>
      <c r="Z10" s="175" t="s">
        <v>41</v>
      </c>
      <c r="AA10" s="175" t="s">
        <v>41</v>
      </c>
      <c r="AB10" s="175" t="s">
        <v>41</v>
      </c>
      <c r="AC10" s="175">
        <v>0.42478688524590169</v>
      </c>
      <c r="AD10" s="175">
        <v>1771.8818380743985</v>
      </c>
      <c r="AE10" s="175">
        <v>1771.8818380743983</v>
      </c>
      <c r="AF10" s="175">
        <v>0.42478688524590164</v>
      </c>
      <c r="AG10" s="175" t="s">
        <v>41</v>
      </c>
      <c r="AH10" s="176" t="s">
        <v>41</v>
      </c>
    </row>
    <row r="11" spans="1:34" x14ac:dyDescent="0.25">
      <c r="A11" s="16" t="s">
        <v>3</v>
      </c>
      <c r="B11" s="16" t="s">
        <v>1</v>
      </c>
      <c r="C11" s="16">
        <v>3</v>
      </c>
      <c r="D11" s="16">
        <v>274</v>
      </c>
      <c r="E11" s="17">
        <v>0.52916215991347026</v>
      </c>
      <c r="F11" s="17">
        <v>0.4845873481975535</v>
      </c>
      <c r="H11" s="160" t="s">
        <v>4</v>
      </c>
      <c r="I11" s="16" t="s">
        <v>14</v>
      </c>
      <c r="J11" s="16">
        <v>3</v>
      </c>
      <c r="K11" s="16">
        <v>290</v>
      </c>
      <c r="L11" s="17">
        <v>0.4831707441646661</v>
      </c>
      <c r="M11" s="161">
        <v>0.50696311550953732</v>
      </c>
      <c r="R11" s="171" t="s">
        <v>9</v>
      </c>
      <c r="S11" s="1" t="s">
        <v>1</v>
      </c>
      <c r="T11" s="1">
        <v>1</v>
      </c>
      <c r="U11" s="1">
        <v>280</v>
      </c>
      <c r="V11" s="175">
        <v>3498.3588621444201</v>
      </c>
      <c r="W11" s="175" t="s">
        <v>41</v>
      </c>
      <c r="X11" s="175" t="s">
        <v>41</v>
      </c>
      <c r="Y11" s="175" t="s">
        <v>41</v>
      </c>
      <c r="Z11" s="175" t="s">
        <v>41</v>
      </c>
      <c r="AA11" s="175" t="s">
        <v>41</v>
      </c>
      <c r="AB11" s="175" t="s">
        <v>41</v>
      </c>
      <c r="AC11" s="175">
        <v>0.35387021110242378</v>
      </c>
      <c r="AD11" s="175">
        <v>1237.9649890590811</v>
      </c>
      <c r="AE11" s="175">
        <v>1237.9649890590808</v>
      </c>
      <c r="AF11" s="175">
        <v>0.35387021110242373</v>
      </c>
      <c r="AG11" s="175" t="s">
        <v>41</v>
      </c>
      <c r="AH11" s="176" t="s">
        <v>41</v>
      </c>
    </row>
    <row r="12" spans="1:34" x14ac:dyDescent="0.25">
      <c r="A12" s="16" t="s">
        <v>3</v>
      </c>
      <c r="B12" s="16" t="s">
        <v>14</v>
      </c>
      <c r="C12" s="16">
        <v>1</v>
      </c>
      <c r="D12" s="16">
        <v>290</v>
      </c>
      <c r="E12" s="17">
        <v>0.57234704217477894</v>
      </c>
      <c r="F12" s="17">
        <v>0.50880086630002663</v>
      </c>
      <c r="H12" s="160" t="s">
        <v>10</v>
      </c>
      <c r="I12" s="16" t="s">
        <v>14</v>
      </c>
      <c r="J12" s="16">
        <v>1</v>
      </c>
      <c r="K12" s="16">
        <v>274</v>
      </c>
      <c r="L12" s="17">
        <v>0.47993782182065486</v>
      </c>
      <c r="M12" s="161">
        <v>0.49593154361265213</v>
      </c>
      <c r="R12" s="171" t="s">
        <v>10</v>
      </c>
      <c r="S12" s="1" t="s">
        <v>1</v>
      </c>
      <c r="T12" s="1">
        <v>1</v>
      </c>
      <c r="U12" s="1">
        <v>270</v>
      </c>
      <c r="V12" s="175">
        <v>2120.8424507658647</v>
      </c>
      <c r="W12" s="175">
        <v>0</v>
      </c>
      <c r="X12" s="175">
        <v>0</v>
      </c>
      <c r="Y12" s="175">
        <v>451.61713297795262</v>
      </c>
      <c r="Z12" s="175">
        <v>1669.2253177879118</v>
      </c>
      <c r="AA12" s="175">
        <v>0.39308316249220066</v>
      </c>
      <c r="AB12" s="175">
        <v>833.6674576947554</v>
      </c>
      <c r="AC12" s="175">
        <v>0.47223230490018153</v>
      </c>
      <c r="AD12" s="175">
        <v>1001.530318855314</v>
      </c>
      <c r="AE12" s="175">
        <v>952.95404814004382</v>
      </c>
      <c r="AF12" s="175">
        <v>0.44932807139725034</v>
      </c>
      <c r="AG12" s="175">
        <v>31.75</v>
      </c>
      <c r="AH12" s="176" t="s">
        <v>41</v>
      </c>
    </row>
    <row r="13" spans="1:34" x14ac:dyDescent="0.25">
      <c r="A13" s="16" t="s">
        <v>3</v>
      </c>
      <c r="B13" s="16" t="s">
        <v>14</v>
      </c>
      <c r="C13" s="16">
        <v>2</v>
      </c>
      <c r="D13" s="16">
        <v>290</v>
      </c>
      <c r="E13" s="17">
        <v>0.52549734570218243</v>
      </c>
      <c r="F13" s="17">
        <v>0.48194149272421866</v>
      </c>
      <c r="H13" s="160" t="s">
        <v>10</v>
      </c>
      <c r="I13" s="16" t="s">
        <v>14</v>
      </c>
      <c r="J13" s="16">
        <v>2</v>
      </c>
      <c r="K13" s="16">
        <v>274</v>
      </c>
      <c r="L13" s="17">
        <v>0.46544634084209752</v>
      </c>
      <c r="M13" s="161">
        <v>0.47968874405929618</v>
      </c>
      <c r="R13" s="171" t="s">
        <v>11</v>
      </c>
      <c r="S13" s="1" t="s">
        <v>1</v>
      </c>
      <c r="T13" s="1">
        <v>1</v>
      </c>
      <c r="U13" s="1">
        <v>270</v>
      </c>
      <c r="V13" s="175">
        <v>2301.3676148796494</v>
      </c>
      <c r="W13" s="175">
        <v>0</v>
      </c>
      <c r="X13" s="175">
        <v>0</v>
      </c>
      <c r="Y13" s="175">
        <v>577.12793026892132</v>
      </c>
      <c r="Z13" s="175">
        <v>1724.2396846107281</v>
      </c>
      <c r="AA13" s="175">
        <v>0.42285426629750816</v>
      </c>
      <c r="AB13" s="175">
        <v>973.14311427078053</v>
      </c>
      <c r="AC13" s="175">
        <v>0.35190713101160864</v>
      </c>
      <c r="AD13" s="175">
        <v>809.86767475532611</v>
      </c>
      <c r="AE13" s="175">
        <v>856.12691466083152</v>
      </c>
      <c r="AF13" s="175">
        <v>0.3720078917968101</v>
      </c>
      <c r="AG13" s="175">
        <v>48.768000000000001</v>
      </c>
      <c r="AH13" s="176">
        <v>14.6</v>
      </c>
    </row>
    <row r="14" spans="1:34" x14ac:dyDescent="0.25">
      <c r="A14" s="16" t="s">
        <v>3</v>
      </c>
      <c r="B14" s="16" t="s">
        <v>14</v>
      </c>
      <c r="C14" s="16">
        <v>3</v>
      </c>
      <c r="D14" s="16">
        <v>290</v>
      </c>
      <c r="E14" s="17">
        <v>0.57447392139190412</v>
      </c>
      <c r="F14" s="17">
        <v>0.48972470619396663</v>
      </c>
      <c r="H14" s="160" t="s">
        <v>10</v>
      </c>
      <c r="I14" s="16" t="s">
        <v>14</v>
      </c>
      <c r="J14" s="16">
        <v>3</v>
      </c>
      <c r="K14" s="16">
        <v>274</v>
      </c>
      <c r="L14" s="17">
        <v>0.44618825580954541</v>
      </c>
      <c r="M14" s="161">
        <v>0.47803834560545921</v>
      </c>
      <c r="R14" s="171" t="s">
        <v>12</v>
      </c>
      <c r="S14" s="1" t="s">
        <v>1</v>
      </c>
      <c r="T14" s="1">
        <v>1</v>
      </c>
      <c r="U14" s="1">
        <v>270</v>
      </c>
      <c r="V14" s="175">
        <v>2665.7002188183806</v>
      </c>
      <c r="W14" s="175">
        <v>0</v>
      </c>
      <c r="X14" s="175">
        <v>393.88257422446225</v>
      </c>
      <c r="Y14" s="175">
        <v>769.06999728102426</v>
      </c>
      <c r="Z14" s="175">
        <v>1502.7476473128938</v>
      </c>
      <c r="AA14" s="175">
        <v>0.3158627335510466</v>
      </c>
      <c r="AB14" s="175">
        <v>841.99535794359679</v>
      </c>
      <c r="AC14" s="175">
        <v>0.3577371048252912</v>
      </c>
      <c r="AD14" s="175">
        <v>953.6198786122327</v>
      </c>
      <c r="AE14" s="175">
        <v>910.83150984682698</v>
      </c>
      <c r="AF14" s="175">
        <v>0.34168564920273342</v>
      </c>
      <c r="AG14" s="175">
        <v>44.45</v>
      </c>
      <c r="AH14" s="176">
        <v>14.2</v>
      </c>
    </row>
    <row r="15" spans="1:34" x14ac:dyDescent="0.25">
      <c r="A15" s="16" t="s">
        <v>4</v>
      </c>
      <c r="B15" s="16" t="s">
        <v>1</v>
      </c>
      <c r="C15" s="16">
        <v>1</v>
      </c>
      <c r="D15" s="16">
        <v>280</v>
      </c>
      <c r="E15" s="17">
        <v>0.46811322832911118</v>
      </c>
      <c r="F15" s="17">
        <v>0.42873120417546912</v>
      </c>
      <c r="H15" s="162" t="s">
        <v>13</v>
      </c>
      <c r="I15" s="34" t="s">
        <v>14</v>
      </c>
      <c r="J15" s="34">
        <v>1</v>
      </c>
      <c r="K15" s="34">
        <v>270</v>
      </c>
      <c r="L15" s="35" t="s">
        <v>41</v>
      </c>
      <c r="M15" s="163">
        <v>0.4716253443526171</v>
      </c>
      <c r="R15" s="171" t="s">
        <v>13</v>
      </c>
      <c r="S15" s="1" t="s">
        <v>1</v>
      </c>
      <c r="T15" s="1">
        <v>1</v>
      </c>
      <c r="U15" s="1">
        <v>270</v>
      </c>
      <c r="V15" s="175">
        <v>3350.6564551422316</v>
      </c>
      <c r="W15" s="175" t="s">
        <v>41</v>
      </c>
      <c r="X15" s="175" t="s">
        <v>41</v>
      </c>
      <c r="Y15" s="175" t="s">
        <v>41</v>
      </c>
      <c r="Z15" s="175">
        <v>0</v>
      </c>
      <c r="AA15" s="175" t="s">
        <v>41</v>
      </c>
      <c r="AB15" s="175" t="s">
        <v>41</v>
      </c>
      <c r="AC15" s="175">
        <v>0.44734693877551018</v>
      </c>
      <c r="AD15" s="175">
        <v>1498.90590809628</v>
      </c>
      <c r="AE15" s="175">
        <v>1498.90590809628</v>
      </c>
      <c r="AF15" s="175">
        <v>0.44734693877551024</v>
      </c>
      <c r="AG15" s="175" t="s">
        <v>41</v>
      </c>
      <c r="AH15" s="176" t="s">
        <v>41</v>
      </c>
    </row>
    <row r="16" spans="1:34" x14ac:dyDescent="0.25">
      <c r="A16" s="16" t="s">
        <v>4</v>
      </c>
      <c r="B16" s="16" t="s">
        <v>1</v>
      </c>
      <c r="C16" s="16">
        <v>2</v>
      </c>
      <c r="D16" s="16">
        <v>284</v>
      </c>
      <c r="E16" s="17">
        <v>0.48965056754952141</v>
      </c>
      <c r="F16" s="17">
        <v>0.47178109357258236</v>
      </c>
      <c r="H16" s="162" t="s">
        <v>13</v>
      </c>
      <c r="I16" s="34" t="s">
        <v>14</v>
      </c>
      <c r="J16" s="34">
        <v>2</v>
      </c>
      <c r="K16" s="34">
        <v>270</v>
      </c>
      <c r="L16" s="35" t="s">
        <v>41</v>
      </c>
      <c r="M16" s="163">
        <v>0.44014974262985496</v>
      </c>
      <c r="R16" s="171" t="s">
        <v>11</v>
      </c>
      <c r="S16" s="1" t="s">
        <v>1</v>
      </c>
      <c r="T16" s="1">
        <v>2</v>
      </c>
      <c r="U16" s="1">
        <v>270</v>
      </c>
      <c r="V16" s="175">
        <v>2186.487964989059</v>
      </c>
      <c r="W16" s="175">
        <v>0</v>
      </c>
      <c r="X16" s="175">
        <v>0</v>
      </c>
      <c r="Y16" s="175">
        <v>554.92526353919015</v>
      </c>
      <c r="Z16" s="175">
        <v>1631.5627014498691</v>
      </c>
      <c r="AA16" s="175">
        <v>0.34371881583324099</v>
      </c>
      <c r="AB16" s="175">
        <v>751.53705415967227</v>
      </c>
      <c r="AC16" s="175">
        <v>0.24620355411954767</v>
      </c>
      <c r="AD16" s="175">
        <v>538.32110801992349</v>
      </c>
      <c r="AE16" s="175">
        <v>586.43326039387307</v>
      </c>
      <c r="AF16" s="175">
        <v>0.26820786109234657</v>
      </c>
      <c r="AG16" s="175">
        <v>56.895999999999994</v>
      </c>
      <c r="AH16" s="176">
        <v>15.8</v>
      </c>
    </row>
    <row r="17" spans="1:34" x14ac:dyDescent="0.25">
      <c r="A17" s="16" t="s">
        <v>4</v>
      </c>
      <c r="B17" s="16" t="s">
        <v>1</v>
      </c>
      <c r="C17" s="16">
        <v>3</v>
      </c>
      <c r="D17" s="16">
        <v>284</v>
      </c>
      <c r="E17" s="17">
        <v>0.49217705794480693</v>
      </c>
      <c r="F17" s="17">
        <v>0.46800840099885904</v>
      </c>
      <c r="H17" s="162" t="s">
        <v>13</v>
      </c>
      <c r="I17" s="34" t="s">
        <v>14</v>
      </c>
      <c r="J17" s="34">
        <v>3</v>
      </c>
      <c r="K17" s="34">
        <v>270</v>
      </c>
      <c r="L17" s="35" t="s">
        <v>41</v>
      </c>
      <c r="M17" s="163">
        <v>0.48653276259466571</v>
      </c>
      <c r="R17" s="171" t="s">
        <v>9</v>
      </c>
      <c r="S17" s="1" t="s">
        <v>1</v>
      </c>
      <c r="T17" s="1">
        <v>2</v>
      </c>
      <c r="U17" s="1">
        <v>284</v>
      </c>
      <c r="V17" s="175">
        <v>3957.8774617067834</v>
      </c>
      <c r="W17" s="175" t="s">
        <v>41</v>
      </c>
      <c r="X17" s="175" t="s">
        <v>41</v>
      </c>
      <c r="Y17" s="175" t="s">
        <v>41</v>
      </c>
      <c r="Z17" s="175" t="s">
        <v>41</v>
      </c>
      <c r="AA17" s="175" t="s">
        <v>41</v>
      </c>
      <c r="AB17" s="175" t="s">
        <v>41</v>
      </c>
      <c r="AC17" s="175">
        <v>0.41617138908085699</v>
      </c>
      <c r="AD17" s="175">
        <v>1647.1553610503283</v>
      </c>
      <c r="AE17" s="175">
        <v>1647.1553610503283</v>
      </c>
      <c r="AF17" s="175">
        <v>0.41617138908085699</v>
      </c>
      <c r="AG17" s="175" t="s">
        <v>41</v>
      </c>
      <c r="AH17" s="176" t="s">
        <v>41</v>
      </c>
    </row>
    <row r="18" spans="1:34" x14ac:dyDescent="0.25">
      <c r="A18" s="16" t="s">
        <v>4</v>
      </c>
      <c r="B18" s="16" t="s">
        <v>14</v>
      </c>
      <c r="C18" s="16">
        <v>1</v>
      </c>
      <c r="D18" s="16">
        <v>290</v>
      </c>
      <c r="E18" s="17">
        <v>0.53749052143271325</v>
      </c>
      <c r="F18" s="17">
        <v>0.48886124869511122</v>
      </c>
      <c r="H18" s="160" t="s">
        <v>11</v>
      </c>
      <c r="I18" s="16" t="s">
        <v>14</v>
      </c>
      <c r="J18" s="16">
        <v>1</v>
      </c>
      <c r="K18" s="16">
        <v>270</v>
      </c>
      <c r="L18" s="17">
        <v>2.7514178224493251E-2</v>
      </c>
      <c r="M18" s="161">
        <v>0.20483493000157849</v>
      </c>
      <c r="R18" s="171" t="s">
        <v>10</v>
      </c>
      <c r="S18" s="1" t="s">
        <v>1</v>
      </c>
      <c r="T18" s="1">
        <v>2</v>
      </c>
      <c r="U18" s="1">
        <v>270</v>
      </c>
      <c r="V18" s="175">
        <v>2764.168490153173</v>
      </c>
      <c r="W18" s="175">
        <v>0</v>
      </c>
      <c r="X18" s="175">
        <v>21.081412766314315</v>
      </c>
      <c r="Y18" s="175">
        <v>525.58597203017337</v>
      </c>
      <c r="Z18" s="175">
        <v>2217.5011053566855</v>
      </c>
      <c r="AA18" s="175">
        <v>0.50288383621716948</v>
      </c>
      <c r="AB18" s="175">
        <v>1390.0556542788488</v>
      </c>
      <c r="AC18" s="175">
        <v>0.48460236886632835</v>
      </c>
      <c r="AD18" s="175">
        <v>1339.5225982738898</v>
      </c>
      <c r="AE18" s="175">
        <v>1360.5032822757114</v>
      </c>
      <c r="AF18" s="175">
        <v>0.4921926022680046</v>
      </c>
      <c r="AG18" s="175">
        <v>38.607999999999997</v>
      </c>
      <c r="AH18" s="176">
        <v>14.6</v>
      </c>
    </row>
    <row r="19" spans="1:34" x14ac:dyDescent="0.25">
      <c r="A19" s="16" t="s">
        <v>4</v>
      </c>
      <c r="B19" s="16" t="s">
        <v>14</v>
      </c>
      <c r="C19" s="16">
        <v>2</v>
      </c>
      <c r="D19" s="16">
        <v>290</v>
      </c>
      <c r="E19" s="17">
        <v>0.47388973459527434</v>
      </c>
      <c r="F19" s="17">
        <v>0.46067511794744237</v>
      </c>
      <c r="H19" s="160" t="s">
        <v>11</v>
      </c>
      <c r="I19" s="16" t="s">
        <v>14</v>
      </c>
      <c r="J19" s="16">
        <v>2</v>
      </c>
      <c r="K19" s="16">
        <v>270</v>
      </c>
      <c r="L19" s="17">
        <v>0.36085435270771316</v>
      </c>
      <c r="M19" s="161">
        <v>0.22849572137678203</v>
      </c>
      <c r="R19" s="171" t="s">
        <v>3</v>
      </c>
      <c r="S19" s="1" t="s">
        <v>1</v>
      </c>
      <c r="T19" s="1">
        <v>2</v>
      </c>
      <c r="U19" s="1">
        <v>274</v>
      </c>
      <c r="V19" s="175">
        <v>4148.1947483588619</v>
      </c>
      <c r="W19" s="175">
        <v>0</v>
      </c>
      <c r="X19" s="175">
        <v>155.89833066178005</v>
      </c>
      <c r="Y19" s="175">
        <v>1164.4739198597954</v>
      </c>
      <c r="Z19" s="175">
        <v>2827.8224978372868</v>
      </c>
      <c r="AA19" s="175">
        <v>0.45098653304102726</v>
      </c>
      <c r="AB19" s="175">
        <v>1870.7799679413597</v>
      </c>
      <c r="AC19" s="175">
        <v>0.38626415094339628</v>
      </c>
      <c r="AD19" s="175">
        <v>1602.2989224226912</v>
      </c>
      <c r="AE19" s="175">
        <v>1636.2144420131292</v>
      </c>
      <c r="AF19" s="175">
        <v>0.39444012185311694</v>
      </c>
      <c r="AG19" s="175">
        <v>57.404000000000003</v>
      </c>
      <c r="AH19" s="176">
        <v>14.2</v>
      </c>
    </row>
    <row r="20" spans="1:34" x14ac:dyDescent="0.25">
      <c r="A20" s="16" t="s">
        <v>4</v>
      </c>
      <c r="B20" s="16" t="s">
        <v>14</v>
      </c>
      <c r="C20" s="16">
        <v>3</v>
      </c>
      <c r="D20" s="16">
        <v>290</v>
      </c>
      <c r="E20" s="17">
        <v>0.4831707441646661</v>
      </c>
      <c r="F20" s="17">
        <v>0.50696311550953732</v>
      </c>
      <c r="H20" s="160" t="s">
        <v>11</v>
      </c>
      <c r="I20" s="16" t="s">
        <v>14</v>
      </c>
      <c r="J20" s="16">
        <v>3</v>
      </c>
      <c r="K20" s="16">
        <v>270</v>
      </c>
      <c r="L20" s="17">
        <v>0.38911698020712054</v>
      </c>
      <c r="M20" s="161">
        <v>0.39211725755034293</v>
      </c>
      <c r="R20" s="171" t="s">
        <v>8</v>
      </c>
      <c r="S20" s="1" t="s">
        <v>1</v>
      </c>
      <c r="T20" s="1">
        <v>2</v>
      </c>
      <c r="U20" s="1">
        <v>284</v>
      </c>
      <c r="V20" s="175">
        <v>3629.6498905908093</v>
      </c>
      <c r="W20" s="175" t="s">
        <v>41</v>
      </c>
      <c r="X20" s="175" t="s">
        <v>41</v>
      </c>
      <c r="Y20" s="175" t="s">
        <v>41</v>
      </c>
      <c r="Z20" s="175" t="s">
        <v>41</v>
      </c>
      <c r="AA20" s="175" t="s">
        <v>41</v>
      </c>
      <c r="AB20" s="175" t="s">
        <v>41</v>
      </c>
      <c r="AC20" s="175">
        <v>0.3962321024868124</v>
      </c>
      <c r="AD20" s="175">
        <v>1438.1838074398249</v>
      </c>
      <c r="AE20" s="175">
        <v>1438.1838074398249</v>
      </c>
      <c r="AF20" s="175">
        <v>0.3962321024868124</v>
      </c>
      <c r="AG20" s="175" t="s">
        <v>41</v>
      </c>
      <c r="AH20" s="176" t="s">
        <v>41</v>
      </c>
    </row>
    <row r="21" spans="1:34" x14ac:dyDescent="0.25">
      <c r="A21" s="16" t="s">
        <v>10</v>
      </c>
      <c r="B21" s="16" t="s">
        <v>1</v>
      </c>
      <c r="C21" s="16">
        <v>1</v>
      </c>
      <c r="D21" s="16">
        <v>270</v>
      </c>
      <c r="E21" s="17">
        <v>0.39308316249220066</v>
      </c>
      <c r="F21" s="17">
        <v>0.44932807139725034</v>
      </c>
      <c r="H21" s="160" t="s">
        <v>12</v>
      </c>
      <c r="I21" s="16" t="s">
        <v>14</v>
      </c>
      <c r="J21" s="16">
        <v>1</v>
      </c>
      <c r="K21" s="16">
        <v>270</v>
      </c>
      <c r="L21" s="17">
        <v>0.45783810394542501</v>
      </c>
      <c r="M21" s="161">
        <v>0.4797485839305084</v>
      </c>
      <c r="R21" s="171" t="s">
        <v>5</v>
      </c>
      <c r="S21" s="1" t="s">
        <v>1</v>
      </c>
      <c r="T21" s="1">
        <v>2</v>
      </c>
      <c r="U21" s="1">
        <v>274</v>
      </c>
      <c r="V21" s="175">
        <v>4019.0919037199119</v>
      </c>
      <c r="W21" s="175">
        <v>0</v>
      </c>
      <c r="X21" s="175">
        <v>0</v>
      </c>
      <c r="Y21" s="175">
        <v>1194.6863370559549</v>
      </c>
      <c r="Z21" s="175">
        <v>2824.4055666639574</v>
      </c>
      <c r="AA21" s="175">
        <v>0.48976232122646363</v>
      </c>
      <c r="AB21" s="175">
        <v>1968.3997799883507</v>
      </c>
      <c r="AC21" s="175">
        <v>0.4084705882352942</v>
      </c>
      <c r="AD21" s="175">
        <v>1641.6808340841808</v>
      </c>
      <c r="AE21" s="175">
        <v>1684.9015317286651</v>
      </c>
      <c r="AF21" s="175">
        <v>0.4192244347956281</v>
      </c>
      <c r="AG21" s="175">
        <v>66.294000000000011</v>
      </c>
      <c r="AH21" s="176">
        <v>17.2</v>
      </c>
    </row>
    <row r="22" spans="1:34" x14ac:dyDescent="0.25">
      <c r="A22" s="16" t="s">
        <v>10</v>
      </c>
      <c r="B22" s="16" t="s">
        <v>1</v>
      </c>
      <c r="C22" s="16">
        <v>2</v>
      </c>
      <c r="D22" s="16">
        <v>270</v>
      </c>
      <c r="E22" s="17">
        <v>0.50288383621716948</v>
      </c>
      <c r="F22" s="17">
        <v>0.4921926022680046</v>
      </c>
      <c r="H22" s="160" t="s">
        <v>12</v>
      </c>
      <c r="I22" s="16" t="s">
        <v>14</v>
      </c>
      <c r="J22" s="16">
        <v>2</v>
      </c>
      <c r="K22" s="16">
        <v>270</v>
      </c>
      <c r="L22" s="17">
        <v>0.4853683696183288</v>
      </c>
      <c r="M22" s="161">
        <v>0.48446077297912971</v>
      </c>
      <c r="R22" s="171" t="s">
        <v>6</v>
      </c>
      <c r="S22" s="1" t="s">
        <v>1</v>
      </c>
      <c r="T22" s="1">
        <v>2</v>
      </c>
      <c r="U22" s="1">
        <v>274</v>
      </c>
      <c r="V22" s="175">
        <v>3619.748358862144</v>
      </c>
      <c r="W22" s="175">
        <v>0</v>
      </c>
      <c r="X22" s="175">
        <v>0</v>
      </c>
      <c r="Y22" s="175">
        <v>847.8141407851798</v>
      </c>
      <c r="Z22" s="175">
        <v>2771.9342180769645</v>
      </c>
      <c r="AA22" s="175">
        <v>0.53257091602197559</v>
      </c>
      <c r="AB22" s="175">
        <v>1927.7726992482549</v>
      </c>
      <c r="AC22" s="175">
        <v>0.46375545851528388</v>
      </c>
      <c r="AD22" s="175">
        <v>1678.67805987406</v>
      </c>
      <c r="AE22" s="175">
        <v>1712.253829321663</v>
      </c>
      <c r="AF22" s="175">
        <v>0.47303117774184295</v>
      </c>
      <c r="AG22" s="175">
        <v>61.722000000000001</v>
      </c>
      <c r="AH22" s="176">
        <v>16.399999999999999</v>
      </c>
    </row>
    <row r="23" spans="1:34" x14ac:dyDescent="0.25">
      <c r="A23" s="16" t="s">
        <v>10</v>
      </c>
      <c r="B23" s="16" t="s">
        <v>1</v>
      </c>
      <c r="C23" s="16">
        <v>3</v>
      </c>
      <c r="D23" s="16">
        <v>270</v>
      </c>
      <c r="E23" s="17">
        <v>0.46122813142480307</v>
      </c>
      <c r="F23" s="17">
        <v>0.40482474594856499</v>
      </c>
      <c r="H23" s="160" t="s">
        <v>12</v>
      </c>
      <c r="I23" s="16" t="s">
        <v>14</v>
      </c>
      <c r="J23" s="16">
        <v>3</v>
      </c>
      <c r="K23" s="16">
        <v>270</v>
      </c>
      <c r="L23" s="17">
        <v>0.43276500338912349</v>
      </c>
      <c r="M23" s="161">
        <v>0.43078117692735302</v>
      </c>
      <c r="R23" s="171" t="s">
        <v>12</v>
      </c>
      <c r="S23" s="1" t="s">
        <v>1</v>
      </c>
      <c r="T23" s="1">
        <v>2</v>
      </c>
      <c r="U23" s="1">
        <v>270</v>
      </c>
      <c r="V23" s="175">
        <v>2266.3566739606131</v>
      </c>
      <c r="W23" s="175">
        <v>0</v>
      </c>
      <c r="X23" s="175">
        <v>16.228834041966479</v>
      </c>
      <c r="Y23" s="175">
        <v>754.37030238407328</v>
      </c>
      <c r="Z23" s="175">
        <v>1495.7575375345732</v>
      </c>
      <c r="AA23" s="175">
        <v>0.37474638978398378</v>
      </c>
      <c r="AB23" s="175">
        <v>849.30898152957695</v>
      </c>
      <c r="AC23" s="175">
        <v>0.4</v>
      </c>
      <c r="AD23" s="175">
        <v>906.54266958424523</v>
      </c>
      <c r="AE23" s="175">
        <v>894.96717724288851</v>
      </c>
      <c r="AF23" s="175">
        <v>0.39489246662965555</v>
      </c>
      <c r="AG23" s="175">
        <v>40.386000000000003</v>
      </c>
      <c r="AH23" s="176">
        <v>15.2</v>
      </c>
    </row>
    <row r="24" spans="1:34" x14ac:dyDescent="0.25">
      <c r="A24" s="16" t="s">
        <v>10</v>
      </c>
      <c r="B24" s="16" t="s">
        <v>14</v>
      </c>
      <c r="C24" s="16">
        <v>1</v>
      </c>
      <c r="D24" s="16">
        <v>274</v>
      </c>
      <c r="E24" s="17">
        <v>0.47993782182065486</v>
      </c>
      <c r="F24" s="17">
        <v>0.49593154361265213</v>
      </c>
      <c r="H24" s="160" t="s">
        <v>6</v>
      </c>
      <c r="I24" s="16" t="s">
        <v>14</v>
      </c>
      <c r="J24" s="16">
        <v>1</v>
      </c>
      <c r="K24" s="16">
        <v>287</v>
      </c>
      <c r="L24" s="17">
        <v>0.47814667654387494</v>
      </c>
      <c r="M24" s="161">
        <v>0.38865218746752572</v>
      </c>
      <c r="R24" s="171" t="s">
        <v>0</v>
      </c>
      <c r="S24" s="1" t="s">
        <v>1</v>
      </c>
      <c r="T24" s="1">
        <v>2</v>
      </c>
      <c r="U24" s="1">
        <v>284</v>
      </c>
      <c r="V24" s="175">
        <v>2952.3522975929973</v>
      </c>
      <c r="W24" s="175">
        <v>0</v>
      </c>
      <c r="X24" s="175">
        <v>0</v>
      </c>
      <c r="Y24" s="175">
        <v>479.3319049272958</v>
      </c>
      <c r="Z24" s="175">
        <v>2473.0203926657014</v>
      </c>
      <c r="AA24" s="175">
        <v>0.59624285325347137</v>
      </c>
      <c r="AB24" s="175">
        <v>1760.3189577262906</v>
      </c>
      <c r="AC24" s="175">
        <v>0.4558789289871944</v>
      </c>
      <c r="AD24" s="175">
        <v>1345.9152034195781</v>
      </c>
      <c r="AE24" s="175">
        <v>1430.5251641137854</v>
      </c>
      <c r="AF24" s="175">
        <v>0.48453741962978752</v>
      </c>
      <c r="AG24" s="175">
        <v>42.417999999999999</v>
      </c>
      <c r="AH24" s="176">
        <v>15</v>
      </c>
    </row>
    <row r="25" spans="1:34" x14ac:dyDescent="0.25">
      <c r="A25" s="16" t="s">
        <v>10</v>
      </c>
      <c r="B25" s="16" t="s">
        <v>14</v>
      </c>
      <c r="C25" s="16">
        <v>2</v>
      </c>
      <c r="D25" s="16">
        <v>274</v>
      </c>
      <c r="E25" s="17">
        <v>0.46544634084209752</v>
      </c>
      <c r="F25" s="17">
        <v>0.47968874405929618</v>
      </c>
      <c r="H25" s="160" t="s">
        <v>6</v>
      </c>
      <c r="I25" s="16" t="s">
        <v>14</v>
      </c>
      <c r="J25" s="16">
        <v>2</v>
      </c>
      <c r="K25" s="16">
        <v>287</v>
      </c>
      <c r="L25" s="17">
        <v>0.49570580436912787</v>
      </c>
      <c r="M25" s="161">
        <v>0.46659082411156816</v>
      </c>
      <c r="R25" s="171" t="s">
        <v>13</v>
      </c>
      <c r="S25" s="1" t="s">
        <v>1</v>
      </c>
      <c r="T25" s="1">
        <v>2</v>
      </c>
      <c r="U25" s="1">
        <v>270</v>
      </c>
      <c r="V25" s="175">
        <v>3717.1772428884024</v>
      </c>
      <c r="W25" s="175" t="s">
        <v>41</v>
      </c>
      <c r="X25" s="175" t="s">
        <v>41</v>
      </c>
      <c r="Y25" s="175" t="s">
        <v>41</v>
      </c>
      <c r="Z25" s="175" t="s">
        <v>41</v>
      </c>
      <c r="AA25" s="175" t="s">
        <v>41</v>
      </c>
      <c r="AB25" s="175" t="s">
        <v>41</v>
      </c>
      <c r="AC25" s="175">
        <v>0.48756438557763065</v>
      </c>
      <c r="AD25" s="175">
        <v>1812.363238512035</v>
      </c>
      <c r="AE25" s="175">
        <v>1812.3632385120352</v>
      </c>
      <c r="AF25" s="175">
        <v>0.48756438557763071</v>
      </c>
      <c r="AG25" s="175" t="s">
        <v>41</v>
      </c>
      <c r="AH25" s="176" t="s">
        <v>41</v>
      </c>
    </row>
    <row r="26" spans="1:34" x14ac:dyDescent="0.25">
      <c r="A26" s="16" t="s">
        <v>10</v>
      </c>
      <c r="B26" s="16" t="s">
        <v>14</v>
      </c>
      <c r="C26" s="16">
        <v>3</v>
      </c>
      <c r="D26" s="16">
        <v>274</v>
      </c>
      <c r="E26" s="17">
        <v>0.44618825580954541</v>
      </c>
      <c r="F26" s="17">
        <v>0.47803834560545921</v>
      </c>
      <c r="H26" s="160" t="s">
        <v>6</v>
      </c>
      <c r="I26" s="16" t="s">
        <v>14</v>
      </c>
      <c r="J26" s="16">
        <v>3</v>
      </c>
      <c r="K26" s="16">
        <v>287</v>
      </c>
      <c r="L26" s="17">
        <v>0.41840412750017669</v>
      </c>
      <c r="M26" s="161">
        <v>0.46264227163737076</v>
      </c>
      <c r="R26" s="171" t="s">
        <v>7</v>
      </c>
      <c r="S26" s="1" t="s">
        <v>1</v>
      </c>
      <c r="T26" s="1">
        <v>2</v>
      </c>
      <c r="U26" s="1">
        <v>284</v>
      </c>
      <c r="V26" s="175">
        <v>3810.1750547045949</v>
      </c>
      <c r="W26" s="175" t="s">
        <v>41</v>
      </c>
      <c r="X26" s="175" t="s">
        <v>41</v>
      </c>
      <c r="Y26" s="175" t="s">
        <v>41</v>
      </c>
      <c r="Z26" s="175" t="s">
        <v>41</v>
      </c>
      <c r="AA26" s="175" t="s">
        <v>41</v>
      </c>
      <c r="AB26" s="175" t="s">
        <v>41</v>
      </c>
      <c r="AC26" s="175">
        <v>0.47307968413496054</v>
      </c>
      <c r="AD26" s="175">
        <v>1802.5164113785559</v>
      </c>
      <c r="AE26" s="175">
        <v>1802.5164113785556</v>
      </c>
      <c r="AF26" s="175">
        <v>0.47307968413496049</v>
      </c>
      <c r="AG26" s="175" t="s">
        <v>41</v>
      </c>
      <c r="AH26" s="176" t="s">
        <v>41</v>
      </c>
    </row>
    <row r="27" spans="1:34" x14ac:dyDescent="0.25">
      <c r="A27" s="57" t="s">
        <v>13</v>
      </c>
      <c r="B27" s="34" t="s">
        <v>1</v>
      </c>
      <c r="C27" s="34">
        <v>1</v>
      </c>
      <c r="D27" s="34">
        <v>270</v>
      </c>
      <c r="E27" s="35" t="s">
        <v>41</v>
      </c>
      <c r="F27" s="35">
        <v>0.44734693877551024</v>
      </c>
      <c r="H27" s="162" t="s">
        <v>7</v>
      </c>
      <c r="I27" s="34" t="s">
        <v>14</v>
      </c>
      <c r="J27" s="34">
        <v>1</v>
      </c>
      <c r="K27" s="34">
        <v>290</v>
      </c>
      <c r="L27" s="35" t="s">
        <v>41</v>
      </c>
      <c r="M27" s="163">
        <v>0.46005252407353364</v>
      </c>
      <c r="R27" s="171" t="s">
        <v>4</v>
      </c>
      <c r="S27" s="1" t="s">
        <v>1</v>
      </c>
      <c r="T27" s="1">
        <v>2</v>
      </c>
      <c r="U27" s="1">
        <v>284</v>
      </c>
      <c r="V27" s="175">
        <v>3420.6236323851203</v>
      </c>
      <c r="W27" s="175">
        <v>0</v>
      </c>
      <c r="X27" s="175">
        <v>65.981314965511672</v>
      </c>
      <c r="Y27" s="175">
        <v>860.04106314661112</v>
      </c>
      <c r="Z27" s="175">
        <v>2494.6012542729968</v>
      </c>
      <c r="AA27" s="175">
        <v>0.48965056754952141</v>
      </c>
      <c r="AB27" s="175">
        <v>1674.9103029706796</v>
      </c>
      <c r="AC27" s="175">
        <v>0.46687054026503572</v>
      </c>
      <c r="AD27" s="175">
        <v>1596.9884032949901</v>
      </c>
      <c r="AE27" s="175">
        <v>1613.785557986871</v>
      </c>
      <c r="AF27" s="175">
        <v>0.47178109357258236</v>
      </c>
      <c r="AG27" s="175">
        <v>51.815999999999995</v>
      </c>
      <c r="AH27" s="176">
        <v>13.4</v>
      </c>
    </row>
    <row r="28" spans="1:34" x14ac:dyDescent="0.25">
      <c r="A28" s="57" t="s">
        <v>13</v>
      </c>
      <c r="B28" s="34" t="s">
        <v>1</v>
      </c>
      <c r="C28" s="34">
        <v>2</v>
      </c>
      <c r="D28" s="34">
        <v>270</v>
      </c>
      <c r="E28" s="35" t="s">
        <v>41</v>
      </c>
      <c r="F28" s="35">
        <v>0.48756438557763071</v>
      </c>
      <c r="H28" s="162" t="s">
        <v>7</v>
      </c>
      <c r="I28" s="34" t="s">
        <v>14</v>
      </c>
      <c r="J28" s="34">
        <v>2</v>
      </c>
      <c r="K28" s="34">
        <v>290</v>
      </c>
      <c r="L28" s="35" t="s">
        <v>41</v>
      </c>
      <c r="M28" s="163">
        <v>0.45613797768008113</v>
      </c>
      <c r="R28" s="171" t="s">
        <v>3</v>
      </c>
      <c r="S28" s="1" t="s">
        <v>1</v>
      </c>
      <c r="T28" s="1">
        <v>3</v>
      </c>
      <c r="U28" s="1">
        <v>274</v>
      </c>
      <c r="V28" s="175">
        <v>3707.2757111597375</v>
      </c>
      <c r="W28" s="175">
        <v>0</v>
      </c>
      <c r="X28" s="175">
        <v>0</v>
      </c>
      <c r="Y28" s="175">
        <v>736.89006356274353</v>
      </c>
      <c r="Z28" s="175">
        <v>2970.3856475969942</v>
      </c>
      <c r="AA28" s="175">
        <v>0.52916215991347026</v>
      </c>
      <c r="AB28" s="175">
        <v>1961.7500227120331</v>
      </c>
      <c r="AC28" s="175">
        <v>0.47497757847533639</v>
      </c>
      <c r="AD28" s="175">
        <v>1760.8728400270827</v>
      </c>
      <c r="AE28" s="175">
        <v>1796.4989059080965</v>
      </c>
      <c r="AF28" s="175">
        <v>0.4845873481975535</v>
      </c>
      <c r="AG28" s="175">
        <v>50.8</v>
      </c>
      <c r="AH28" s="176">
        <v>16.600000000000001</v>
      </c>
    </row>
    <row r="29" spans="1:34" x14ac:dyDescent="0.25">
      <c r="A29" s="57" t="s">
        <v>13</v>
      </c>
      <c r="B29" s="34" t="s">
        <v>1</v>
      </c>
      <c r="C29" s="34">
        <v>3</v>
      </c>
      <c r="D29" s="34">
        <v>270</v>
      </c>
      <c r="E29" s="35" t="s">
        <v>41</v>
      </c>
      <c r="F29" s="35">
        <v>0.45831469052945567</v>
      </c>
      <c r="H29" s="162" t="s">
        <v>7</v>
      </c>
      <c r="I29" s="34" t="s">
        <v>14</v>
      </c>
      <c r="J29" s="34">
        <v>3</v>
      </c>
      <c r="K29" s="34">
        <v>290</v>
      </c>
      <c r="L29" s="35" t="s">
        <v>41</v>
      </c>
      <c r="M29" s="163">
        <v>0.50018989745537412</v>
      </c>
      <c r="R29" s="171" t="s">
        <v>0</v>
      </c>
      <c r="S29" s="1" t="s">
        <v>1</v>
      </c>
      <c r="T29" s="1">
        <v>3</v>
      </c>
      <c r="U29" s="1">
        <v>284</v>
      </c>
      <c r="V29" s="175">
        <v>3586.9256017505468</v>
      </c>
      <c r="W29" s="175">
        <v>0</v>
      </c>
      <c r="X29" s="175">
        <v>0</v>
      </c>
      <c r="Y29" s="175">
        <v>693.46937354685713</v>
      </c>
      <c r="Z29" s="175">
        <v>2893.4562282036895</v>
      </c>
      <c r="AA29" s="175">
        <v>0.51587784401995385</v>
      </c>
      <c r="AB29" s="175">
        <v>1850.4154460910477</v>
      </c>
      <c r="AC29" s="175">
        <v>0.44777680906713169</v>
      </c>
      <c r="AD29" s="175">
        <v>1606.1421003130611</v>
      </c>
      <c r="AE29" s="175">
        <v>1636.7614879649891</v>
      </c>
      <c r="AF29" s="175">
        <v>0.45631319678506616</v>
      </c>
      <c r="AG29" s="175">
        <v>51.562000000000005</v>
      </c>
      <c r="AH29" s="176">
        <v>14</v>
      </c>
    </row>
    <row r="30" spans="1:34" x14ac:dyDescent="0.25">
      <c r="A30" s="57" t="s">
        <v>13</v>
      </c>
      <c r="B30" s="34" t="s">
        <v>14</v>
      </c>
      <c r="C30" s="34">
        <v>1</v>
      </c>
      <c r="D30" s="34">
        <v>270</v>
      </c>
      <c r="E30" s="35" t="s">
        <v>41</v>
      </c>
      <c r="F30" s="35">
        <v>0.4716253443526171</v>
      </c>
      <c r="H30" s="162" t="s">
        <v>9</v>
      </c>
      <c r="I30" s="34" t="s">
        <v>14</v>
      </c>
      <c r="J30" s="34">
        <v>1</v>
      </c>
      <c r="K30" s="34">
        <v>287</v>
      </c>
      <c r="L30" s="35" t="s">
        <v>41</v>
      </c>
      <c r="M30" s="163">
        <v>0.48577878103837469</v>
      </c>
      <c r="R30" s="171" t="s">
        <v>9</v>
      </c>
      <c r="S30" s="1" t="s">
        <v>1</v>
      </c>
      <c r="T30" s="1">
        <v>3</v>
      </c>
      <c r="U30" s="1">
        <v>284</v>
      </c>
      <c r="V30" s="175">
        <v>3153.7199124726476</v>
      </c>
      <c r="W30" s="175" t="s">
        <v>41</v>
      </c>
      <c r="X30" s="175" t="s">
        <v>41</v>
      </c>
      <c r="Y30" s="175" t="s">
        <v>41</v>
      </c>
      <c r="Z30" s="175" t="s">
        <v>41</v>
      </c>
      <c r="AA30" s="175" t="s">
        <v>41</v>
      </c>
      <c r="AB30" s="175" t="s">
        <v>41</v>
      </c>
      <c r="AC30" s="175">
        <v>0.45741543798785772</v>
      </c>
      <c r="AD30" s="175">
        <v>1442.5601750547044</v>
      </c>
      <c r="AE30" s="175">
        <v>1442.5601750547046</v>
      </c>
      <c r="AF30" s="175">
        <v>0.45741543798785778</v>
      </c>
      <c r="AG30" s="175" t="s">
        <v>41</v>
      </c>
      <c r="AH30" s="176" t="s">
        <v>41</v>
      </c>
    </row>
    <row r="31" spans="1:34" x14ac:dyDescent="0.25">
      <c r="A31" s="57" t="s">
        <v>13</v>
      </c>
      <c r="B31" s="34" t="s">
        <v>14</v>
      </c>
      <c r="C31" s="34">
        <v>2</v>
      </c>
      <c r="D31" s="34">
        <v>270</v>
      </c>
      <c r="E31" s="35" t="s">
        <v>41</v>
      </c>
      <c r="F31" s="35">
        <v>0.44014974262985496</v>
      </c>
      <c r="H31" s="162" t="s">
        <v>9</v>
      </c>
      <c r="I31" s="34" t="s">
        <v>14</v>
      </c>
      <c r="J31" s="34">
        <v>2</v>
      </c>
      <c r="K31" s="34">
        <v>287</v>
      </c>
      <c r="L31" s="35" t="s">
        <v>41</v>
      </c>
      <c r="M31" s="163">
        <v>0.48907563025210088</v>
      </c>
      <c r="R31" s="171" t="s">
        <v>10</v>
      </c>
      <c r="S31" s="1" t="s">
        <v>1</v>
      </c>
      <c r="T31" s="1">
        <v>3</v>
      </c>
      <c r="U31" s="1">
        <v>270</v>
      </c>
      <c r="V31" s="175">
        <v>4290.4266958424505</v>
      </c>
      <c r="W31" s="175">
        <v>0</v>
      </c>
      <c r="X31" s="175">
        <v>43.272079635324786</v>
      </c>
      <c r="Y31" s="175">
        <v>913.54017353191387</v>
      </c>
      <c r="Z31" s="175">
        <v>3333.6144426752116</v>
      </c>
      <c r="AA31" s="175">
        <v>0.46122813142480307</v>
      </c>
      <c r="AB31" s="175">
        <v>1978.8654879385053</v>
      </c>
      <c r="AC31" s="175">
        <v>0.37720797720797727</v>
      </c>
      <c r="AD31" s="175">
        <v>1618.3831752978363</v>
      </c>
      <c r="AE31" s="175">
        <v>1736.870897155361</v>
      </c>
      <c r="AF31" s="175">
        <v>0.40482474594856499</v>
      </c>
      <c r="AG31" s="175">
        <v>38.353999999999999</v>
      </c>
      <c r="AH31" s="176">
        <v>13.8</v>
      </c>
    </row>
    <row r="32" spans="1:34" x14ac:dyDescent="0.25">
      <c r="A32" s="57" t="s">
        <v>13</v>
      </c>
      <c r="B32" s="34" t="s">
        <v>14</v>
      </c>
      <c r="C32" s="34">
        <v>3</v>
      </c>
      <c r="D32" s="34">
        <v>270</v>
      </c>
      <c r="E32" s="35" t="s">
        <v>41</v>
      </c>
      <c r="F32" s="35">
        <v>0.48653276259466571</v>
      </c>
      <c r="H32" s="162" t="s">
        <v>9</v>
      </c>
      <c r="I32" s="34" t="s">
        <v>14</v>
      </c>
      <c r="J32" s="34">
        <v>3</v>
      </c>
      <c r="K32" s="34">
        <v>287</v>
      </c>
      <c r="L32" s="35" t="s">
        <v>41</v>
      </c>
      <c r="M32" s="163">
        <v>0.46129855401190817</v>
      </c>
      <c r="R32" s="171" t="s">
        <v>13</v>
      </c>
      <c r="S32" s="1" t="s">
        <v>1</v>
      </c>
      <c r="T32" s="1">
        <v>3</v>
      </c>
      <c r="U32" s="1">
        <v>270</v>
      </c>
      <c r="V32" s="175">
        <v>3667.9431072210064</v>
      </c>
      <c r="W32" s="175" t="s">
        <v>41</v>
      </c>
      <c r="X32" s="175" t="s">
        <v>41</v>
      </c>
      <c r="Y32" s="175" t="s">
        <v>41</v>
      </c>
      <c r="Z32" s="175" t="s">
        <v>41</v>
      </c>
      <c r="AA32" s="175" t="s">
        <v>41</v>
      </c>
      <c r="AB32" s="175" t="s">
        <v>41</v>
      </c>
      <c r="AC32" s="175">
        <v>0.45831469052945567</v>
      </c>
      <c r="AD32" s="175">
        <v>1681.0722100656455</v>
      </c>
      <c r="AE32" s="175">
        <v>1681.0722100656455</v>
      </c>
      <c r="AF32" s="175">
        <v>0.45831469052945567</v>
      </c>
      <c r="AG32" s="175" t="s">
        <v>41</v>
      </c>
      <c r="AH32" s="176" t="s">
        <v>41</v>
      </c>
    </row>
    <row r="33" spans="1:34" x14ac:dyDescent="0.25">
      <c r="A33" s="16" t="s">
        <v>11</v>
      </c>
      <c r="B33" s="16" t="s">
        <v>1</v>
      </c>
      <c r="C33" s="16">
        <v>1</v>
      </c>
      <c r="D33" s="16">
        <v>270</v>
      </c>
      <c r="E33" s="17">
        <v>0.42285426629750816</v>
      </c>
      <c r="F33" s="17">
        <v>0.3720078917968101</v>
      </c>
      <c r="H33" s="162" t="s">
        <v>8</v>
      </c>
      <c r="I33" s="34" t="s">
        <v>14</v>
      </c>
      <c r="J33" s="34">
        <v>1</v>
      </c>
      <c r="K33" s="34">
        <v>290</v>
      </c>
      <c r="L33" s="35" t="s">
        <v>41</v>
      </c>
      <c r="M33" s="163">
        <v>0.42135396518375229</v>
      </c>
      <c r="R33" s="171" t="s">
        <v>12</v>
      </c>
      <c r="S33" s="1" t="s">
        <v>1</v>
      </c>
      <c r="T33" s="1">
        <v>3</v>
      </c>
      <c r="U33" s="1">
        <v>270</v>
      </c>
      <c r="V33" s="175">
        <v>2988.4573304157548</v>
      </c>
      <c r="W33" s="175">
        <v>0</v>
      </c>
      <c r="X33" s="175">
        <v>205.23063432285034</v>
      </c>
      <c r="Y33" s="175">
        <v>724.50689554181236</v>
      </c>
      <c r="Z33" s="175">
        <v>2058.7198005510922</v>
      </c>
      <c r="AA33" s="175">
        <v>0.42492309893411545</v>
      </c>
      <c r="AB33" s="175">
        <v>1269.8645498726364</v>
      </c>
      <c r="AC33" s="175">
        <v>0.37367773677736782</v>
      </c>
      <c r="AD33" s="175">
        <v>1116.7199716854936</v>
      </c>
      <c r="AE33" s="175">
        <v>1155.9080962800874</v>
      </c>
      <c r="AF33" s="175">
        <v>0.38679089860696697</v>
      </c>
      <c r="AG33" s="175">
        <v>39.116</v>
      </c>
      <c r="AH33" s="176">
        <v>12.6</v>
      </c>
    </row>
    <row r="34" spans="1:34" x14ac:dyDescent="0.25">
      <c r="A34" s="16" t="s">
        <v>11</v>
      </c>
      <c r="B34" s="16" t="s">
        <v>1</v>
      </c>
      <c r="C34" s="16">
        <v>2</v>
      </c>
      <c r="D34" s="16">
        <v>270</v>
      </c>
      <c r="E34" s="17">
        <v>0.34371881583324099</v>
      </c>
      <c r="F34" s="17">
        <v>0.26820786109234657</v>
      </c>
      <c r="H34" s="162" t="s">
        <v>8</v>
      </c>
      <c r="I34" s="34" t="s">
        <v>14</v>
      </c>
      <c r="J34" s="34">
        <v>2</v>
      </c>
      <c r="K34" s="34">
        <v>290</v>
      </c>
      <c r="L34" s="35" t="s">
        <v>41</v>
      </c>
      <c r="M34" s="163">
        <v>0.44506706408345753</v>
      </c>
      <c r="R34" s="171" t="s">
        <v>11</v>
      </c>
      <c r="S34" s="1" t="s">
        <v>1</v>
      </c>
      <c r="T34" s="1">
        <v>3</v>
      </c>
      <c r="U34" s="1">
        <v>270</v>
      </c>
      <c r="V34" s="175">
        <v>2249.9452954048138</v>
      </c>
      <c r="W34" s="175">
        <v>0</v>
      </c>
      <c r="X34" s="175">
        <v>12.524048401919396</v>
      </c>
      <c r="Y34" s="175">
        <v>728.27341457161106</v>
      </c>
      <c r="Z34" s="175">
        <v>1509.1478324312836</v>
      </c>
      <c r="AA34" s="175">
        <v>0.34047685314036558</v>
      </c>
      <c r="AB34" s="175">
        <v>766.0542939174012</v>
      </c>
      <c r="AC34" s="175">
        <v>0.29555189456342668</v>
      </c>
      <c r="AD34" s="175">
        <v>664.97559472096145</v>
      </c>
      <c r="AE34" s="175">
        <v>691.46608315098479</v>
      </c>
      <c r="AF34" s="175">
        <v>0.30732573123586771</v>
      </c>
      <c r="AG34" s="175">
        <v>59.436</v>
      </c>
      <c r="AH34" s="176">
        <v>16.2</v>
      </c>
    </row>
    <row r="35" spans="1:34" x14ac:dyDescent="0.25">
      <c r="A35" s="16" t="s">
        <v>11</v>
      </c>
      <c r="B35" s="16" t="s">
        <v>1</v>
      </c>
      <c r="C35" s="16">
        <v>3</v>
      </c>
      <c r="D35" s="16">
        <v>270</v>
      </c>
      <c r="E35" s="17">
        <v>0.34047685314036558</v>
      </c>
      <c r="F35" s="17">
        <v>0.30732573123586771</v>
      </c>
      <c r="H35" s="162" t="s">
        <v>8</v>
      </c>
      <c r="I35" s="34" t="s">
        <v>14</v>
      </c>
      <c r="J35" s="34">
        <v>3</v>
      </c>
      <c r="K35" s="34">
        <v>290</v>
      </c>
      <c r="L35" s="35" t="s">
        <v>41</v>
      </c>
      <c r="M35" s="163">
        <v>0.42362313820574993</v>
      </c>
      <c r="R35" s="171" t="s">
        <v>4</v>
      </c>
      <c r="S35" s="1" t="s">
        <v>1</v>
      </c>
      <c r="T35" s="1">
        <v>3</v>
      </c>
      <c r="U35" s="1">
        <v>284</v>
      </c>
      <c r="V35" s="175">
        <v>3307.9321663019691</v>
      </c>
      <c r="W35" s="175">
        <v>0</v>
      </c>
      <c r="X35" s="175">
        <v>0</v>
      </c>
      <c r="Y35" s="175">
        <v>803.38096247399812</v>
      </c>
      <c r="Z35" s="175">
        <v>2504.5512038279708</v>
      </c>
      <c r="AA35" s="175">
        <v>0.49217705794480693</v>
      </c>
      <c r="AB35" s="175">
        <v>1628.088321491495</v>
      </c>
      <c r="AC35" s="175">
        <v>0.46157068062827228</v>
      </c>
      <c r="AD35" s="175">
        <v>1526.8445014721551</v>
      </c>
      <c r="AE35" s="175">
        <v>1548.1400437636764</v>
      </c>
      <c r="AF35" s="175">
        <v>0.46800840099885904</v>
      </c>
      <c r="AG35" s="175">
        <v>46.99</v>
      </c>
      <c r="AH35" s="176">
        <v>14</v>
      </c>
    </row>
    <row r="36" spans="1:34" x14ac:dyDescent="0.25">
      <c r="A36" s="16" t="s">
        <v>11</v>
      </c>
      <c r="B36" s="16" t="s">
        <v>14</v>
      </c>
      <c r="C36" s="16">
        <v>1</v>
      </c>
      <c r="D36" s="16">
        <v>270</v>
      </c>
      <c r="E36" s="17">
        <v>2.7514178224493251E-2</v>
      </c>
      <c r="F36" s="17">
        <v>0.20483493000157849</v>
      </c>
      <c r="H36" s="160" t="s">
        <v>5</v>
      </c>
      <c r="I36" s="16" t="s">
        <v>14</v>
      </c>
      <c r="J36" s="16">
        <v>1</v>
      </c>
      <c r="K36" s="16">
        <v>290</v>
      </c>
      <c r="L36" s="17">
        <v>0.43797751715411937</v>
      </c>
      <c r="M36" s="161">
        <v>0.46843097476174006</v>
      </c>
      <c r="R36" s="171" t="s">
        <v>5</v>
      </c>
      <c r="S36" s="1" t="s">
        <v>1</v>
      </c>
      <c r="T36" s="1">
        <v>3</v>
      </c>
      <c r="U36" s="1">
        <v>274</v>
      </c>
      <c r="V36" s="175">
        <v>5102.2428884026258</v>
      </c>
      <c r="W36" s="175">
        <v>0</v>
      </c>
      <c r="X36" s="175">
        <v>0</v>
      </c>
      <c r="Y36" s="175">
        <v>1352.8049639466608</v>
      </c>
      <c r="Z36" s="175">
        <v>3749.4379244559655</v>
      </c>
      <c r="AA36" s="175">
        <v>0.53046867572963208</v>
      </c>
      <c r="AB36" s="175">
        <v>2706.5800282618738</v>
      </c>
      <c r="AC36" s="175">
        <v>0.47359516616314201</v>
      </c>
      <c r="AD36" s="175">
        <v>2416.3975685377513</v>
      </c>
      <c r="AE36" s="175">
        <v>2449.1247264770241</v>
      </c>
      <c r="AF36" s="175">
        <v>0.48000943507489091</v>
      </c>
      <c r="AG36" s="175">
        <v>66.294000000000011</v>
      </c>
      <c r="AH36" s="176">
        <v>17.8</v>
      </c>
    </row>
    <row r="37" spans="1:34" x14ac:dyDescent="0.25">
      <c r="A37" s="16" t="s">
        <v>11</v>
      </c>
      <c r="B37" s="16" t="s">
        <v>14</v>
      </c>
      <c r="C37" s="16">
        <v>2</v>
      </c>
      <c r="D37" s="16">
        <v>270</v>
      </c>
      <c r="E37" s="17">
        <v>0.36085435270771316</v>
      </c>
      <c r="F37" s="17">
        <v>0.22849572137678203</v>
      </c>
      <c r="H37" s="160" t="s">
        <v>5</v>
      </c>
      <c r="I37" s="16" t="s">
        <v>14</v>
      </c>
      <c r="J37" s="16">
        <v>2</v>
      </c>
      <c r="K37" s="16">
        <v>290</v>
      </c>
      <c r="L37" s="17">
        <v>0.50333822624177282</v>
      </c>
      <c r="M37" s="161">
        <v>0.45856635025661519</v>
      </c>
      <c r="N37" s="60" t="s">
        <v>14</v>
      </c>
      <c r="R37" s="171" t="s">
        <v>7</v>
      </c>
      <c r="S37" s="1" t="s">
        <v>1</v>
      </c>
      <c r="T37" s="1">
        <v>3</v>
      </c>
      <c r="U37" s="1">
        <v>284</v>
      </c>
      <c r="V37" s="175">
        <v>3782.8227571115972</v>
      </c>
      <c r="W37" s="175" t="s">
        <v>41</v>
      </c>
      <c r="X37" s="175" t="s">
        <v>41</v>
      </c>
      <c r="Y37" s="175" t="s">
        <v>41</v>
      </c>
      <c r="Z37" s="175" t="s">
        <v>41</v>
      </c>
      <c r="AA37" s="175" t="s">
        <v>41</v>
      </c>
      <c r="AB37" s="175" t="s">
        <v>41</v>
      </c>
      <c r="AC37" s="175">
        <v>0.50672451193058576</v>
      </c>
      <c r="AD37" s="175">
        <v>1916.8490153172868</v>
      </c>
      <c r="AE37" s="175">
        <v>1916.8490153172868</v>
      </c>
      <c r="AF37" s="175">
        <v>0.50672451193058576</v>
      </c>
      <c r="AG37" s="175" t="s">
        <v>41</v>
      </c>
      <c r="AH37" s="176" t="s">
        <v>41</v>
      </c>
    </row>
    <row r="38" spans="1:34" x14ac:dyDescent="0.25">
      <c r="A38" s="16" t="s">
        <v>11</v>
      </c>
      <c r="B38" s="16" t="s">
        <v>14</v>
      </c>
      <c r="C38" s="16">
        <v>3</v>
      </c>
      <c r="D38" s="16">
        <v>270</v>
      </c>
      <c r="E38" s="17">
        <v>0.38911698020712054</v>
      </c>
      <c r="F38" s="17">
        <v>0.39211725755034293</v>
      </c>
      <c r="H38" s="160" t="s">
        <v>5</v>
      </c>
      <c r="I38" s="16" t="s">
        <v>14</v>
      </c>
      <c r="J38" s="16">
        <v>3</v>
      </c>
      <c r="K38" s="16">
        <v>290</v>
      </c>
      <c r="L38" s="17">
        <v>0.39963140792472956</v>
      </c>
      <c r="M38" s="161">
        <v>0.44004383340198494</v>
      </c>
      <c r="N38" s="59">
        <f>AVERAGE(L3:L38)</f>
        <v>0.45122441213128056</v>
      </c>
      <c r="O38" s="59">
        <f>AVERAGE(M3:M38)</f>
        <v>0.45321745315367079</v>
      </c>
      <c r="R38" s="171" t="s">
        <v>6</v>
      </c>
      <c r="S38" s="1" t="s">
        <v>1</v>
      </c>
      <c r="T38" s="1">
        <v>3</v>
      </c>
      <c r="U38" s="1">
        <v>274</v>
      </c>
      <c r="V38" s="175">
        <v>4806.8380743982489</v>
      </c>
      <c r="W38" s="175">
        <v>0</v>
      </c>
      <c r="X38" s="175">
        <v>0</v>
      </c>
      <c r="Y38" s="175">
        <v>1234.9407875365807</v>
      </c>
      <c r="Z38" s="175">
        <v>3571.8972868616675</v>
      </c>
      <c r="AA38" s="175">
        <v>0.49487615222205045</v>
      </c>
      <c r="AB38" s="175">
        <v>2378.7895306126557</v>
      </c>
      <c r="AC38" s="175">
        <v>0.41271000730460189</v>
      </c>
      <c r="AD38" s="175">
        <v>1983.8301767969397</v>
      </c>
      <c r="AE38" s="175">
        <v>2071.1159737417938</v>
      </c>
      <c r="AF38" s="175">
        <v>0.43086867951154556</v>
      </c>
      <c r="AG38" s="175">
        <v>63.245999999999995</v>
      </c>
      <c r="AH38" s="176">
        <v>20.2</v>
      </c>
    </row>
    <row r="39" spans="1:34" x14ac:dyDescent="0.25">
      <c r="A39" s="16" t="s">
        <v>12</v>
      </c>
      <c r="B39" s="16" t="s">
        <v>1</v>
      </c>
      <c r="C39" s="16">
        <v>1</v>
      </c>
      <c r="D39" s="16">
        <v>270</v>
      </c>
      <c r="E39" s="17">
        <v>0.3158627335510466</v>
      </c>
      <c r="F39" s="17">
        <v>0.34168564920273342</v>
      </c>
      <c r="H39" s="160" t="s">
        <v>0</v>
      </c>
      <c r="I39" s="16" t="s">
        <v>1</v>
      </c>
      <c r="J39" s="16">
        <v>1</v>
      </c>
      <c r="K39" s="16">
        <v>280</v>
      </c>
      <c r="L39" s="17">
        <v>0.47235783084839689</v>
      </c>
      <c r="M39" s="161">
        <v>0.40464620817464131</v>
      </c>
      <c r="R39" s="171" t="s">
        <v>8</v>
      </c>
      <c r="S39" s="1" t="s">
        <v>1</v>
      </c>
      <c r="T39" s="1">
        <v>3</v>
      </c>
      <c r="U39" s="1">
        <v>284</v>
      </c>
      <c r="V39" s="175">
        <v>4160.2844638949664</v>
      </c>
      <c r="W39" s="175" t="s">
        <v>41</v>
      </c>
      <c r="X39" s="175" t="s">
        <v>41</v>
      </c>
      <c r="Y39" s="175" t="s">
        <v>41</v>
      </c>
      <c r="Z39" s="175" t="s">
        <v>41</v>
      </c>
      <c r="AA39" s="175" t="s">
        <v>41</v>
      </c>
      <c r="AB39" s="175" t="s">
        <v>41</v>
      </c>
      <c r="AC39" s="175">
        <v>0.44733727810650892</v>
      </c>
      <c r="AD39" s="175">
        <v>1861.0503282275708</v>
      </c>
      <c r="AE39" s="175">
        <v>1861.0503282275711</v>
      </c>
      <c r="AF39" s="175">
        <v>0.44733727810650897</v>
      </c>
      <c r="AG39" s="175" t="s">
        <v>41</v>
      </c>
      <c r="AH39" s="176" t="s">
        <v>41</v>
      </c>
    </row>
    <row r="40" spans="1:34" x14ac:dyDescent="0.25">
      <c r="A40" s="16" t="s">
        <v>12</v>
      </c>
      <c r="B40" s="16" t="s">
        <v>1</v>
      </c>
      <c r="C40" s="16">
        <v>2</v>
      </c>
      <c r="D40" s="16">
        <v>270</v>
      </c>
      <c r="E40" s="17">
        <v>0.37474638978398378</v>
      </c>
      <c r="F40" s="17">
        <v>0.39489246662965555</v>
      </c>
      <c r="H40" s="160" t="s">
        <v>0</v>
      </c>
      <c r="I40" s="16" t="s">
        <v>1</v>
      </c>
      <c r="J40" s="16">
        <v>2</v>
      </c>
      <c r="K40" s="16">
        <v>284</v>
      </c>
      <c r="L40" s="17">
        <v>0.59624285325347137</v>
      </c>
      <c r="M40" s="161">
        <v>0.48453741962978752</v>
      </c>
      <c r="R40" s="171" t="s">
        <v>0</v>
      </c>
      <c r="S40" s="1" t="s">
        <v>14</v>
      </c>
      <c r="T40" s="1">
        <v>1</v>
      </c>
      <c r="U40" s="1">
        <v>287</v>
      </c>
      <c r="V40" s="175">
        <v>8057.9321663019691</v>
      </c>
      <c r="W40" s="175">
        <v>12.893379112969207</v>
      </c>
      <c r="X40" s="175">
        <v>0</v>
      </c>
      <c r="Y40" s="175">
        <v>2273.1027376164657</v>
      </c>
      <c r="Z40" s="175">
        <v>5771.936049572535</v>
      </c>
      <c r="AA40" s="175">
        <v>0.51842764947463871</v>
      </c>
      <c r="AB40" s="175">
        <v>4177.4548326020131</v>
      </c>
      <c r="AC40" s="175">
        <v>0.45476468300272255</v>
      </c>
      <c r="AD40" s="175">
        <v>3664.4629672657566</v>
      </c>
      <c r="AE40" s="175">
        <v>3729.7592997811817</v>
      </c>
      <c r="AF40" s="175">
        <v>0.46286804391068509</v>
      </c>
      <c r="AG40" s="175">
        <v>78.231999999999999</v>
      </c>
      <c r="AH40" s="176">
        <v>18.2</v>
      </c>
    </row>
    <row r="41" spans="1:34" x14ac:dyDescent="0.25">
      <c r="A41" s="16" t="s">
        <v>12</v>
      </c>
      <c r="B41" s="16" t="s">
        <v>1</v>
      </c>
      <c r="C41" s="16">
        <v>3</v>
      </c>
      <c r="D41" s="16">
        <v>270</v>
      </c>
      <c r="E41" s="17">
        <v>0.42492309893411545</v>
      </c>
      <c r="F41" s="17">
        <v>0.38679089860696697</v>
      </c>
      <c r="H41" s="160" t="s">
        <v>0</v>
      </c>
      <c r="I41" s="16" t="s">
        <v>1</v>
      </c>
      <c r="J41" s="16">
        <v>3</v>
      </c>
      <c r="K41" s="16">
        <v>284</v>
      </c>
      <c r="L41" s="17">
        <v>0.51587784401995385</v>
      </c>
      <c r="M41" s="161">
        <v>0.45631319678506616</v>
      </c>
      <c r="R41" s="171" t="s">
        <v>3</v>
      </c>
      <c r="S41" s="1" t="s">
        <v>14</v>
      </c>
      <c r="T41" s="1">
        <v>1</v>
      </c>
      <c r="U41" s="1">
        <v>290</v>
      </c>
      <c r="V41" s="175">
        <v>10911.870897155359</v>
      </c>
      <c r="W41" s="175">
        <v>0</v>
      </c>
      <c r="X41" s="175">
        <v>0</v>
      </c>
      <c r="Y41" s="175">
        <v>2626.6423917852917</v>
      </c>
      <c r="Z41" s="175">
        <v>8285.2285053700671</v>
      </c>
      <c r="AA41" s="175">
        <v>0.57234704217477894</v>
      </c>
      <c r="AB41" s="175">
        <v>6245.3770325799214</v>
      </c>
      <c r="AC41" s="175">
        <v>0.49815627743634761</v>
      </c>
      <c r="AD41" s="175">
        <v>5435.8169859929321</v>
      </c>
      <c r="AE41" s="175">
        <v>5551.9693654266957</v>
      </c>
      <c r="AF41" s="175">
        <v>0.50880086630002663</v>
      </c>
      <c r="AG41" s="175">
        <v>91.948000000000008</v>
      </c>
      <c r="AH41" s="176">
        <v>20.6</v>
      </c>
    </row>
    <row r="42" spans="1:34" x14ac:dyDescent="0.25">
      <c r="A42" s="16" t="s">
        <v>12</v>
      </c>
      <c r="B42" s="16" t="s">
        <v>14</v>
      </c>
      <c r="C42" s="16">
        <v>1</v>
      </c>
      <c r="D42" s="16">
        <v>270</v>
      </c>
      <c r="E42" s="17">
        <v>0.45783810394542501</v>
      </c>
      <c r="F42" s="17">
        <v>0.4797485839305084</v>
      </c>
      <c r="H42" s="160" t="s">
        <v>3</v>
      </c>
      <c r="I42" s="16" t="s">
        <v>1</v>
      </c>
      <c r="J42" s="16">
        <v>1</v>
      </c>
      <c r="K42" s="16">
        <v>274</v>
      </c>
      <c r="L42" s="17">
        <v>0.52009219360657377</v>
      </c>
      <c r="M42" s="161">
        <v>0.4606372438248536</v>
      </c>
      <c r="R42" s="171" t="s">
        <v>4</v>
      </c>
      <c r="S42" s="1" t="s">
        <v>14</v>
      </c>
      <c r="T42" s="1">
        <v>1</v>
      </c>
      <c r="U42" s="1">
        <v>290</v>
      </c>
      <c r="V42" s="175">
        <v>7388.8949671772434</v>
      </c>
      <c r="W42" s="175">
        <v>0</v>
      </c>
      <c r="X42" s="175">
        <v>0</v>
      </c>
      <c r="Y42" s="175">
        <v>2105.6982891875377</v>
      </c>
      <c r="Z42" s="175">
        <v>5283.1966779897057</v>
      </c>
      <c r="AA42" s="175">
        <v>0.53749052143271325</v>
      </c>
      <c r="AB42" s="175">
        <v>3971.4610087196475</v>
      </c>
      <c r="AC42" s="175">
        <v>0.47918331114070123</v>
      </c>
      <c r="AD42" s="175">
        <v>3540.6351560428543</v>
      </c>
      <c r="AE42" s="175">
        <v>3612.1444201312902</v>
      </c>
      <c r="AF42" s="175">
        <v>0.48886124869511122</v>
      </c>
      <c r="AG42" s="175">
        <v>59.436</v>
      </c>
      <c r="AH42" s="176">
        <v>14.2</v>
      </c>
    </row>
    <row r="43" spans="1:34" x14ac:dyDescent="0.25">
      <c r="A43" s="16" t="s">
        <v>12</v>
      </c>
      <c r="B43" s="16" t="s">
        <v>14</v>
      </c>
      <c r="C43" s="16">
        <v>2</v>
      </c>
      <c r="D43" s="16">
        <v>270</v>
      </c>
      <c r="E43" s="17">
        <v>0.4853683696183288</v>
      </c>
      <c r="F43" s="17">
        <v>0.48446077297912971</v>
      </c>
      <c r="H43" s="160" t="s">
        <v>3</v>
      </c>
      <c r="I43" s="16" t="s">
        <v>1</v>
      </c>
      <c r="J43" s="16">
        <v>2</v>
      </c>
      <c r="K43" s="16">
        <v>274</v>
      </c>
      <c r="L43" s="17">
        <v>0.45098653304102726</v>
      </c>
      <c r="M43" s="161">
        <v>0.39444012185311694</v>
      </c>
      <c r="R43" s="171" t="s">
        <v>5</v>
      </c>
      <c r="S43" s="1" t="s">
        <v>14</v>
      </c>
      <c r="T43" s="1">
        <v>1</v>
      </c>
      <c r="U43" s="1">
        <v>290</v>
      </c>
      <c r="V43" s="175">
        <v>8386.1597374179419</v>
      </c>
      <c r="W43" s="175">
        <v>134.67481207591229</v>
      </c>
      <c r="X43" s="175">
        <v>0</v>
      </c>
      <c r="Y43" s="175">
        <v>3301.1653178244069</v>
      </c>
      <c r="Z43" s="175">
        <v>4950.319607517622</v>
      </c>
      <c r="AA43" s="175">
        <v>0.43797751715411937</v>
      </c>
      <c r="AB43" s="175">
        <v>3672.9494202521519</v>
      </c>
      <c r="AC43" s="175">
        <v>0.47314500941619581</v>
      </c>
      <c r="AD43" s="175">
        <v>3967.869627926334</v>
      </c>
      <c r="AE43" s="175">
        <v>3928.3369803063447</v>
      </c>
      <c r="AF43" s="175">
        <v>0.46843097476174006</v>
      </c>
      <c r="AG43" s="175">
        <v>107.188</v>
      </c>
      <c r="AH43" s="176">
        <v>20.6</v>
      </c>
    </row>
    <row r="44" spans="1:34" x14ac:dyDescent="0.25">
      <c r="A44" s="16" t="s">
        <v>12</v>
      </c>
      <c r="B44" s="16" t="s">
        <v>14</v>
      </c>
      <c r="C44" s="16">
        <v>3</v>
      </c>
      <c r="D44" s="16">
        <v>270</v>
      </c>
      <c r="E44" s="17">
        <v>0.43276500338912349</v>
      </c>
      <c r="F44" s="17">
        <v>0.43078117692735302</v>
      </c>
      <c r="H44" s="160" t="s">
        <v>3</v>
      </c>
      <c r="I44" s="16" t="s">
        <v>1</v>
      </c>
      <c r="J44" s="16">
        <v>3</v>
      </c>
      <c r="K44" s="16">
        <v>274</v>
      </c>
      <c r="L44" s="17">
        <v>0.52916215991347026</v>
      </c>
      <c r="M44" s="161">
        <v>0.4845873481975535</v>
      </c>
      <c r="R44" s="171" t="s">
        <v>6</v>
      </c>
      <c r="S44" s="1" t="s">
        <v>14</v>
      </c>
      <c r="T44" s="1">
        <v>1</v>
      </c>
      <c r="U44" s="1">
        <v>287</v>
      </c>
      <c r="V44" s="175">
        <v>6843.4901531728665</v>
      </c>
      <c r="W44" s="175">
        <v>59.913375979020351</v>
      </c>
      <c r="X44" s="175">
        <v>0</v>
      </c>
      <c r="Y44" s="175">
        <v>2575.8142949749599</v>
      </c>
      <c r="Z44" s="175">
        <v>4207.7624822188882</v>
      </c>
      <c r="AA44" s="175">
        <v>0.47814667654387494</v>
      </c>
      <c r="AB44" s="175">
        <v>3272.1920727003398</v>
      </c>
      <c r="AC44" s="175">
        <v>0.37659863945578231</v>
      </c>
      <c r="AD44" s="175">
        <v>2577.2490808139446</v>
      </c>
      <c r="AE44" s="175">
        <v>2659.7374179431072</v>
      </c>
      <c r="AF44" s="175">
        <v>0.38865218746752572</v>
      </c>
      <c r="AG44" s="175">
        <v>104.64800000000001</v>
      </c>
      <c r="AH44" s="176">
        <v>20.2</v>
      </c>
    </row>
    <row r="45" spans="1:34" x14ac:dyDescent="0.25">
      <c r="A45" s="16" t="s">
        <v>6</v>
      </c>
      <c r="B45" s="16" t="s">
        <v>1</v>
      </c>
      <c r="C45" s="16">
        <v>1</v>
      </c>
      <c r="D45" s="16">
        <v>274</v>
      </c>
      <c r="E45" s="17">
        <v>0.51034057001749145</v>
      </c>
      <c r="F45" s="17">
        <v>0.51034057001749134</v>
      </c>
      <c r="H45" s="160" t="s">
        <v>4</v>
      </c>
      <c r="I45" s="16" t="s">
        <v>1</v>
      </c>
      <c r="J45" s="16">
        <v>1</v>
      </c>
      <c r="K45" s="16">
        <v>280</v>
      </c>
      <c r="L45" s="17">
        <v>0.46811322832911118</v>
      </c>
      <c r="M45" s="161">
        <v>0.42873120417546912</v>
      </c>
      <c r="R45" s="171" t="s">
        <v>7</v>
      </c>
      <c r="S45" s="1" t="s">
        <v>14</v>
      </c>
      <c r="T45" s="1">
        <v>1</v>
      </c>
      <c r="U45" s="1">
        <v>290</v>
      </c>
      <c r="V45" s="175">
        <v>9373.6323851203506</v>
      </c>
      <c r="W45" s="175" t="s">
        <v>41</v>
      </c>
      <c r="X45" s="175" t="s">
        <v>41</v>
      </c>
      <c r="Y45" s="175" t="s">
        <v>41</v>
      </c>
      <c r="Z45" s="175" t="s">
        <v>41</v>
      </c>
      <c r="AA45" s="175" t="s">
        <v>41</v>
      </c>
      <c r="AB45" s="175" t="s">
        <v>41</v>
      </c>
      <c r="AC45" s="175">
        <v>0.4600525240735337</v>
      </c>
      <c r="AD45" s="175">
        <v>4312.3632385120354</v>
      </c>
      <c r="AE45" s="175">
        <v>4312.3632385120345</v>
      </c>
      <c r="AF45" s="175">
        <v>0.46005252407353364</v>
      </c>
      <c r="AG45" s="175" t="s">
        <v>41</v>
      </c>
      <c r="AH45" s="176" t="s">
        <v>41</v>
      </c>
    </row>
    <row r="46" spans="1:34" x14ac:dyDescent="0.25">
      <c r="A46" s="16" t="s">
        <v>6</v>
      </c>
      <c r="B46" s="16" t="s">
        <v>1</v>
      </c>
      <c r="C46" s="16">
        <v>2</v>
      </c>
      <c r="D46" s="16">
        <v>274</v>
      </c>
      <c r="E46" s="17">
        <v>0.53257091602197559</v>
      </c>
      <c r="F46" s="17">
        <v>0.47303117774184295</v>
      </c>
      <c r="H46" s="160" t="s">
        <v>4</v>
      </c>
      <c r="I46" s="16" t="s">
        <v>1</v>
      </c>
      <c r="J46" s="16">
        <v>2</v>
      </c>
      <c r="K46" s="16">
        <v>284</v>
      </c>
      <c r="L46" s="17">
        <v>0.48965056754952141</v>
      </c>
      <c r="M46" s="161">
        <v>0.47178109357258236</v>
      </c>
      <c r="R46" s="171" t="s">
        <v>8</v>
      </c>
      <c r="S46" s="1" t="s">
        <v>14</v>
      </c>
      <c r="T46" s="1">
        <v>1</v>
      </c>
      <c r="U46" s="1">
        <v>290</v>
      </c>
      <c r="V46" s="175">
        <v>7070.5689277899337</v>
      </c>
      <c r="W46" s="175" t="s">
        <v>41</v>
      </c>
      <c r="X46" s="175" t="s">
        <v>41</v>
      </c>
      <c r="Y46" s="175" t="s">
        <v>41</v>
      </c>
      <c r="Z46" s="175" t="s">
        <v>41</v>
      </c>
      <c r="AA46" s="175" t="s">
        <v>41</v>
      </c>
      <c r="AB46" s="175" t="s">
        <v>41</v>
      </c>
      <c r="AC46" s="175">
        <v>0.42135396518375234</v>
      </c>
      <c r="AD46" s="175">
        <v>2979.2122538293211</v>
      </c>
      <c r="AE46" s="175">
        <v>2979.2122538293206</v>
      </c>
      <c r="AF46" s="175">
        <v>0.42135396518375229</v>
      </c>
      <c r="AG46" s="175" t="s">
        <v>41</v>
      </c>
      <c r="AH46" s="176" t="s">
        <v>41</v>
      </c>
    </row>
    <row r="47" spans="1:34" x14ac:dyDescent="0.25">
      <c r="A47" s="16" t="s">
        <v>6</v>
      </c>
      <c r="B47" s="16" t="s">
        <v>1</v>
      </c>
      <c r="C47" s="16">
        <v>3</v>
      </c>
      <c r="D47" s="16">
        <v>274</v>
      </c>
      <c r="E47" s="17">
        <v>0.49487615222205045</v>
      </c>
      <c r="F47" s="17">
        <v>0.43086867951154556</v>
      </c>
      <c r="H47" s="160" t="s">
        <v>4</v>
      </c>
      <c r="I47" s="16" t="s">
        <v>1</v>
      </c>
      <c r="J47" s="16">
        <v>3</v>
      </c>
      <c r="K47" s="16">
        <v>284</v>
      </c>
      <c r="L47" s="17">
        <v>0.49217705794480693</v>
      </c>
      <c r="M47" s="161">
        <v>0.46800840099885904</v>
      </c>
      <c r="R47" s="171" t="s">
        <v>9</v>
      </c>
      <c r="S47" s="1" t="s">
        <v>14</v>
      </c>
      <c r="T47" s="1">
        <v>1</v>
      </c>
      <c r="U47" s="1">
        <v>287</v>
      </c>
      <c r="V47" s="175">
        <v>8481.9474835886213</v>
      </c>
      <c r="W47" s="175" t="s">
        <v>41</v>
      </c>
      <c r="X47" s="175" t="s">
        <v>41</v>
      </c>
      <c r="Y47" s="175" t="s">
        <v>41</v>
      </c>
      <c r="Z47" s="175" t="s">
        <v>41</v>
      </c>
      <c r="AA47" s="175" t="s">
        <v>41</v>
      </c>
      <c r="AB47" s="175" t="s">
        <v>41</v>
      </c>
      <c r="AC47" s="175">
        <v>0.48577878103837469</v>
      </c>
      <c r="AD47" s="175">
        <v>4120.3501094091898</v>
      </c>
      <c r="AE47" s="175">
        <v>4120.3501094091898</v>
      </c>
      <c r="AF47" s="175">
        <v>0.48577878103837469</v>
      </c>
      <c r="AG47" s="175" t="s">
        <v>41</v>
      </c>
      <c r="AH47" s="176" t="s">
        <v>41</v>
      </c>
    </row>
    <row r="48" spans="1:34" x14ac:dyDescent="0.25">
      <c r="A48" s="16" t="s">
        <v>6</v>
      </c>
      <c r="B48" s="16" t="s">
        <v>14</v>
      </c>
      <c r="C48" s="16">
        <v>1</v>
      </c>
      <c r="D48" s="16">
        <v>287</v>
      </c>
      <c r="E48" s="17">
        <v>0.47814667654387494</v>
      </c>
      <c r="F48" s="17">
        <v>0.38865218746752572</v>
      </c>
      <c r="H48" s="160" t="s">
        <v>10</v>
      </c>
      <c r="I48" s="16" t="s">
        <v>1</v>
      </c>
      <c r="J48" s="16">
        <v>1</v>
      </c>
      <c r="K48" s="16">
        <v>270</v>
      </c>
      <c r="L48" s="17">
        <v>0.39308316249220066</v>
      </c>
      <c r="M48" s="161">
        <v>0.44932807139725034</v>
      </c>
      <c r="R48" s="171" t="s">
        <v>10</v>
      </c>
      <c r="S48" s="1" t="s">
        <v>14</v>
      </c>
      <c r="T48" s="1">
        <v>1</v>
      </c>
      <c r="U48" s="1">
        <v>274</v>
      </c>
      <c r="V48" s="175">
        <v>6380.1422319474832</v>
      </c>
      <c r="W48" s="175">
        <v>0</v>
      </c>
      <c r="X48" s="175">
        <v>157.02931106188956</v>
      </c>
      <c r="Y48" s="175">
        <v>1506.0350635922537</v>
      </c>
      <c r="Z48" s="175">
        <v>4717.0778572933395</v>
      </c>
      <c r="AA48" s="175">
        <v>0.47993782182065486</v>
      </c>
      <c r="AB48" s="175">
        <v>3062.0715657068463</v>
      </c>
      <c r="AC48" s="175">
        <v>0.50169096209912534</v>
      </c>
      <c r="AD48" s="175">
        <v>3200.8596946749935</v>
      </c>
      <c r="AE48" s="175">
        <v>3164.1137855579868</v>
      </c>
      <c r="AF48" s="175">
        <v>0.49593154361265213</v>
      </c>
      <c r="AG48" s="175">
        <v>52.832000000000001</v>
      </c>
      <c r="AH48" s="176">
        <v>15.4</v>
      </c>
    </row>
    <row r="49" spans="1:34" x14ac:dyDescent="0.25">
      <c r="A49" s="16" t="s">
        <v>6</v>
      </c>
      <c r="B49" s="16" t="s">
        <v>14</v>
      </c>
      <c r="C49" s="16">
        <v>2</v>
      </c>
      <c r="D49" s="16">
        <v>287</v>
      </c>
      <c r="E49" s="17">
        <v>0.49570580436912787</v>
      </c>
      <c r="F49" s="17">
        <v>0.46659082411156816</v>
      </c>
      <c r="H49" s="160" t="s">
        <v>10</v>
      </c>
      <c r="I49" s="16" t="s">
        <v>1</v>
      </c>
      <c r="J49" s="16">
        <v>2</v>
      </c>
      <c r="K49" s="16">
        <v>270</v>
      </c>
      <c r="L49" s="17">
        <v>0.50288383621716948</v>
      </c>
      <c r="M49" s="161">
        <v>0.4921926022680046</v>
      </c>
      <c r="R49" s="171" t="s">
        <v>11</v>
      </c>
      <c r="S49" s="1" t="s">
        <v>14</v>
      </c>
      <c r="T49" s="1">
        <v>1</v>
      </c>
      <c r="U49" s="1">
        <v>270</v>
      </c>
      <c r="V49" s="175">
        <v>4505.4157549234133</v>
      </c>
      <c r="W49" s="175">
        <v>564.15728752199527</v>
      </c>
      <c r="X49" s="175">
        <v>40.477652916376378</v>
      </c>
      <c r="Y49" s="175">
        <v>2602.9660678537261</v>
      </c>
      <c r="Z49" s="175">
        <v>1297.8147466313164</v>
      </c>
      <c r="AA49" s="175">
        <v>2.7514178224493251E-2</v>
      </c>
      <c r="AB49" s="175">
        <v>123.9628120564026</v>
      </c>
      <c r="AC49" s="175">
        <v>0.25375677769171184</v>
      </c>
      <c r="AD49" s="175">
        <v>1143.2797841308366</v>
      </c>
      <c r="AE49" s="175">
        <v>922.86652078774625</v>
      </c>
      <c r="AF49" s="175">
        <v>0.20483493000157849</v>
      </c>
      <c r="AG49" s="175">
        <v>83.820000000000007</v>
      </c>
      <c r="AH49" s="176">
        <v>16.600000000000001</v>
      </c>
    </row>
    <row r="50" spans="1:34" x14ac:dyDescent="0.25">
      <c r="A50" s="16" t="s">
        <v>6</v>
      </c>
      <c r="B50" s="16" t="s">
        <v>14</v>
      </c>
      <c r="C50" s="16">
        <v>3</v>
      </c>
      <c r="D50" s="16">
        <v>287</v>
      </c>
      <c r="E50" s="17">
        <v>0.41840412750017669</v>
      </c>
      <c r="F50" s="17">
        <v>0.46264227163737076</v>
      </c>
      <c r="H50" s="160" t="s">
        <v>10</v>
      </c>
      <c r="I50" s="16" t="s">
        <v>1</v>
      </c>
      <c r="J50" s="16">
        <v>3</v>
      </c>
      <c r="K50" s="16">
        <v>270</v>
      </c>
      <c r="L50" s="17">
        <v>0.46122813142480307</v>
      </c>
      <c r="M50" s="161">
        <v>0.40482474594856499</v>
      </c>
      <c r="R50" s="171" t="s">
        <v>12</v>
      </c>
      <c r="S50" s="1" t="s">
        <v>14</v>
      </c>
      <c r="T50" s="1">
        <v>1</v>
      </c>
      <c r="U50" s="1">
        <v>270</v>
      </c>
      <c r="V50" s="175">
        <v>5900.9299781181617</v>
      </c>
      <c r="W50" s="175">
        <v>0</v>
      </c>
      <c r="X50" s="175">
        <v>0</v>
      </c>
      <c r="Y50" s="175">
        <v>1613.9473018427127</v>
      </c>
      <c r="Z50" s="175">
        <v>4286.9826762754492</v>
      </c>
      <c r="AA50" s="175">
        <v>0.45783810394542501</v>
      </c>
      <c r="AB50" s="175">
        <v>2701.6705926963373</v>
      </c>
      <c r="AC50" s="175">
        <v>0.48307528029898561</v>
      </c>
      <c r="AD50" s="175">
        <v>2850.5934032041177</v>
      </c>
      <c r="AE50" s="175">
        <v>2830.9628008752738</v>
      </c>
      <c r="AF50" s="175">
        <v>0.4797485839305084</v>
      </c>
      <c r="AG50" s="175">
        <v>58.165999999999997</v>
      </c>
      <c r="AH50" s="176">
        <v>14.4</v>
      </c>
    </row>
    <row r="51" spans="1:34" x14ac:dyDescent="0.25">
      <c r="A51" s="57" t="s">
        <v>7</v>
      </c>
      <c r="B51" s="34" t="s">
        <v>1</v>
      </c>
      <c r="C51" s="34">
        <v>1</v>
      </c>
      <c r="D51" s="34">
        <v>284</v>
      </c>
      <c r="E51" s="35" t="s">
        <v>41</v>
      </c>
      <c r="F51" s="35">
        <v>0.48477703741670941</v>
      </c>
      <c r="H51" s="162" t="s">
        <v>13</v>
      </c>
      <c r="I51" s="34" t="s">
        <v>1</v>
      </c>
      <c r="J51" s="34">
        <v>1</v>
      </c>
      <c r="K51" s="34">
        <v>270</v>
      </c>
      <c r="L51" s="35" t="s">
        <v>41</v>
      </c>
      <c r="M51" s="163">
        <v>0.44734693877551024</v>
      </c>
      <c r="R51" s="171" t="s">
        <v>13</v>
      </c>
      <c r="S51" s="1" t="s">
        <v>14</v>
      </c>
      <c r="T51" s="1">
        <v>1</v>
      </c>
      <c r="U51" s="1">
        <v>270</v>
      </c>
      <c r="V51" s="175">
        <v>6950.2188183807439</v>
      </c>
      <c r="W51" s="175" t="s">
        <v>41</v>
      </c>
      <c r="X51" s="175" t="s">
        <v>41</v>
      </c>
      <c r="Y51" s="175" t="s">
        <v>41</v>
      </c>
      <c r="Z51" s="175" t="s">
        <v>41</v>
      </c>
      <c r="AA51" s="175" t="s">
        <v>41</v>
      </c>
      <c r="AB51" s="175" t="s">
        <v>41</v>
      </c>
      <c r="AC51" s="175">
        <v>0.47162534435261705</v>
      </c>
      <c r="AD51" s="175">
        <v>3277.8993435448574</v>
      </c>
      <c r="AE51" s="175">
        <v>3277.8993435448579</v>
      </c>
      <c r="AF51" s="175">
        <v>0.4716253443526171</v>
      </c>
      <c r="AG51" s="175" t="s">
        <v>41</v>
      </c>
      <c r="AH51" s="176" t="s">
        <v>41</v>
      </c>
    </row>
    <row r="52" spans="1:34" x14ac:dyDescent="0.25">
      <c r="A52" s="57" t="s">
        <v>7</v>
      </c>
      <c r="B52" s="34" t="s">
        <v>1</v>
      </c>
      <c r="C52" s="34">
        <v>2</v>
      </c>
      <c r="D52" s="34">
        <v>284</v>
      </c>
      <c r="E52" s="35" t="s">
        <v>41</v>
      </c>
      <c r="F52" s="35">
        <v>0.47307968413496049</v>
      </c>
      <c r="H52" s="162" t="s">
        <v>13</v>
      </c>
      <c r="I52" s="34" t="s">
        <v>1</v>
      </c>
      <c r="J52" s="34">
        <v>2</v>
      </c>
      <c r="K52" s="34">
        <v>270</v>
      </c>
      <c r="L52" s="35" t="s">
        <v>41</v>
      </c>
      <c r="M52" s="163">
        <v>0.48756438557763071</v>
      </c>
      <c r="R52" s="171" t="s">
        <v>11</v>
      </c>
      <c r="S52" s="1" t="s">
        <v>14</v>
      </c>
      <c r="T52" s="1">
        <v>2</v>
      </c>
      <c r="U52" s="1">
        <v>270</v>
      </c>
      <c r="V52" s="175">
        <v>6028.3916849015313</v>
      </c>
      <c r="W52" s="175">
        <v>324.2594096531713</v>
      </c>
      <c r="X52" s="175">
        <v>0</v>
      </c>
      <c r="Y52" s="175">
        <v>2200.2417612291401</v>
      </c>
      <c r="Z52" s="175">
        <v>3503.8905140192201</v>
      </c>
      <c r="AA52" s="175">
        <v>0.36085435270771316</v>
      </c>
      <c r="AB52" s="175">
        <v>2175.3713793237025</v>
      </c>
      <c r="AC52" s="175">
        <v>0.20065897858319609</v>
      </c>
      <c r="AD52" s="175">
        <v>1209.6509179917737</v>
      </c>
      <c r="AE52" s="175">
        <v>1377.4617067833699</v>
      </c>
      <c r="AF52" s="175">
        <v>0.22849572137678203</v>
      </c>
      <c r="AG52" s="175">
        <v>67.817999999999998</v>
      </c>
      <c r="AH52" s="176">
        <v>11.8</v>
      </c>
    </row>
    <row r="53" spans="1:34" x14ac:dyDescent="0.25">
      <c r="A53" s="57" t="s">
        <v>7</v>
      </c>
      <c r="B53" s="34" t="s">
        <v>1</v>
      </c>
      <c r="C53" s="34">
        <v>3</v>
      </c>
      <c r="D53" s="34">
        <v>284</v>
      </c>
      <c r="E53" s="35" t="s">
        <v>41</v>
      </c>
      <c r="F53" s="35">
        <v>0.50672451193058576</v>
      </c>
      <c r="H53" s="162" t="s">
        <v>13</v>
      </c>
      <c r="I53" s="34" t="s">
        <v>1</v>
      </c>
      <c r="J53" s="34">
        <v>3</v>
      </c>
      <c r="K53" s="34">
        <v>270</v>
      </c>
      <c r="L53" s="35" t="s">
        <v>41</v>
      </c>
      <c r="M53" s="163">
        <v>0.45831469052945567</v>
      </c>
      <c r="R53" s="171" t="s">
        <v>9</v>
      </c>
      <c r="S53" s="1" t="s">
        <v>14</v>
      </c>
      <c r="T53" s="1">
        <v>2</v>
      </c>
      <c r="U53" s="1">
        <v>287</v>
      </c>
      <c r="V53" s="175">
        <v>10741.24726477024</v>
      </c>
      <c r="W53" s="175" t="s">
        <v>41</v>
      </c>
      <c r="X53" s="175" t="s">
        <v>41</v>
      </c>
      <c r="Y53" s="175" t="s">
        <v>41</v>
      </c>
      <c r="Z53" s="175" t="s">
        <v>41</v>
      </c>
      <c r="AA53" s="175" t="s">
        <v>41</v>
      </c>
      <c r="AB53" s="175" t="s">
        <v>41</v>
      </c>
      <c r="AC53" s="175">
        <v>0.48907563025210082</v>
      </c>
      <c r="AD53" s="175">
        <v>5253.2822757111589</v>
      </c>
      <c r="AE53" s="175">
        <v>5253.2822757111599</v>
      </c>
      <c r="AF53" s="175">
        <v>0.48907563025210088</v>
      </c>
      <c r="AG53" s="175" t="s">
        <v>41</v>
      </c>
      <c r="AH53" s="176" t="s">
        <v>41</v>
      </c>
    </row>
    <row r="54" spans="1:34" x14ac:dyDescent="0.25">
      <c r="A54" s="57" t="s">
        <v>7</v>
      </c>
      <c r="B54" s="34" t="s">
        <v>14</v>
      </c>
      <c r="C54" s="34">
        <v>1</v>
      </c>
      <c r="D54" s="34">
        <v>290</v>
      </c>
      <c r="E54" s="35" t="s">
        <v>41</v>
      </c>
      <c r="F54" s="35">
        <v>0.46005252407353364</v>
      </c>
      <c r="H54" s="160" t="s">
        <v>11</v>
      </c>
      <c r="I54" s="16" t="s">
        <v>1</v>
      </c>
      <c r="J54" s="16">
        <v>1</v>
      </c>
      <c r="K54" s="16">
        <v>270</v>
      </c>
      <c r="L54" s="17">
        <v>0.42285426629750816</v>
      </c>
      <c r="M54" s="161">
        <v>0.3720078917968101</v>
      </c>
      <c r="R54" s="171" t="s">
        <v>10</v>
      </c>
      <c r="S54" s="1" t="s">
        <v>14</v>
      </c>
      <c r="T54" s="1">
        <v>2</v>
      </c>
      <c r="U54" s="1">
        <v>274</v>
      </c>
      <c r="V54" s="175">
        <v>6664.6061269146612</v>
      </c>
      <c r="W54" s="175">
        <v>0</v>
      </c>
      <c r="X54" s="175">
        <v>87.31242787908144</v>
      </c>
      <c r="Y54" s="175">
        <v>1573.8065125204423</v>
      </c>
      <c r="Z54" s="175">
        <v>5003.4871865151372</v>
      </c>
      <c r="AA54" s="175">
        <v>0.46544634084209752</v>
      </c>
      <c r="AB54" s="175">
        <v>3102.0165349262529</v>
      </c>
      <c r="AC54" s="175">
        <v>0.48383677795442503</v>
      </c>
      <c r="AD54" s="175">
        <v>3224.5815547817097</v>
      </c>
      <c r="AE54" s="175">
        <v>3196.936542669584</v>
      </c>
      <c r="AF54" s="175">
        <v>0.47968874405929618</v>
      </c>
      <c r="AG54" s="175">
        <v>45.974000000000004</v>
      </c>
      <c r="AH54" s="176">
        <v>14.6</v>
      </c>
    </row>
    <row r="55" spans="1:34" x14ac:dyDescent="0.25">
      <c r="A55" s="57" t="s">
        <v>7</v>
      </c>
      <c r="B55" s="34" t="s">
        <v>14</v>
      </c>
      <c r="C55" s="34">
        <v>2</v>
      </c>
      <c r="D55" s="34">
        <v>290</v>
      </c>
      <c r="E55" s="35" t="s">
        <v>41</v>
      </c>
      <c r="F55" s="35">
        <v>0.45613797768008113</v>
      </c>
      <c r="H55" s="160" t="s">
        <v>11</v>
      </c>
      <c r="I55" s="16" t="s">
        <v>1</v>
      </c>
      <c r="J55" s="16">
        <v>2</v>
      </c>
      <c r="K55" s="16">
        <v>270</v>
      </c>
      <c r="L55" s="17">
        <v>0.34371881583324099</v>
      </c>
      <c r="M55" s="161">
        <v>0.26820786109234657</v>
      </c>
      <c r="R55" s="171" t="s">
        <v>3</v>
      </c>
      <c r="S55" s="1" t="s">
        <v>14</v>
      </c>
      <c r="T55" s="1">
        <v>2</v>
      </c>
      <c r="U55" s="1">
        <v>290</v>
      </c>
      <c r="V55" s="175">
        <v>9086.3785557986866</v>
      </c>
      <c r="W55" s="175">
        <v>14.616942285053423</v>
      </c>
      <c r="X55" s="175">
        <v>0</v>
      </c>
      <c r="Y55" s="175">
        <v>2625.6900658050899</v>
      </c>
      <c r="Z55" s="175">
        <v>6446.0715477085441</v>
      </c>
      <c r="AA55" s="175">
        <v>0.52549734570218243</v>
      </c>
      <c r="AB55" s="175">
        <v>4774.8678131174393</v>
      </c>
      <c r="AC55" s="175">
        <v>0.47643268904713465</v>
      </c>
      <c r="AD55" s="175">
        <v>4329.0477690393882</v>
      </c>
      <c r="AE55" s="175">
        <v>4379.1028446389491</v>
      </c>
      <c r="AF55" s="175">
        <v>0.48194149272421866</v>
      </c>
      <c r="AG55" s="175">
        <v>95.504000000000005</v>
      </c>
      <c r="AH55" s="176">
        <v>17.600000000000001</v>
      </c>
    </row>
    <row r="56" spans="1:34" x14ac:dyDescent="0.25">
      <c r="A56" s="57" t="s">
        <v>7</v>
      </c>
      <c r="B56" s="34" t="s">
        <v>14</v>
      </c>
      <c r="C56" s="34">
        <v>3</v>
      </c>
      <c r="D56" s="34">
        <v>290</v>
      </c>
      <c r="E56" s="35" t="s">
        <v>41</v>
      </c>
      <c r="F56" s="35">
        <v>0.50018989745537412</v>
      </c>
      <c r="H56" s="160" t="s">
        <v>11</v>
      </c>
      <c r="I56" s="16" t="s">
        <v>1</v>
      </c>
      <c r="J56" s="16">
        <v>3</v>
      </c>
      <c r="K56" s="16">
        <v>270</v>
      </c>
      <c r="L56" s="17">
        <v>0.34047685314036558</v>
      </c>
      <c r="M56" s="161">
        <v>0.30732573123586771</v>
      </c>
      <c r="R56" s="171" t="s">
        <v>8</v>
      </c>
      <c r="S56" s="1" t="s">
        <v>14</v>
      </c>
      <c r="T56" s="1">
        <v>2</v>
      </c>
      <c r="U56" s="1">
        <v>290</v>
      </c>
      <c r="V56" s="175">
        <v>9176.6958424507648</v>
      </c>
      <c r="W56" s="175" t="s">
        <v>41</v>
      </c>
      <c r="X56" s="175" t="s">
        <v>41</v>
      </c>
      <c r="Y56" s="175" t="s">
        <v>41</v>
      </c>
      <c r="Z56" s="175" t="s">
        <v>41</v>
      </c>
      <c r="AA56" s="175" t="s">
        <v>41</v>
      </c>
      <c r="AB56" s="175" t="s">
        <v>41</v>
      </c>
      <c r="AC56" s="175">
        <v>0.44506706408345748</v>
      </c>
      <c r="AD56" s="175">
        <v>4084.2450765864323</v>
      </c>
      <c r="AE56" s="175">
        <v>4084.2450765864328</v>
      </c>
      <c r="AF56" s="175">
        <v>0.44506706408345753</v>
      </c>
      <c r="AG56" s="175" t="s">
        <v>41</v>
      </c>
      <c r="AH56" s="176" t="s">
        <v>41</v>
      </c>
    </row>
    <row r="57" spans="1:34" x14ac:dyDescent="0.25">
      <c r="A57" s="57" t="s">
        <v>9</v>
      </c>
      <c r="B57" s="34" t="s">
        <v>1</v>
      </c>
      <c r="C57" s="34">
        <v>1</v>
      </c>
      <c r="D57" s="34">
        <v>280</v>
      </c>
      <c r="E57" s="35" t="s">
        <v>41</v>
      </c>
      <c r="F57" s="35">
        <v>0.35387021110242373</v>
      </c>
      <c r="H57" s="160" t="s">
        <v>12</v>
      </c>
      <c r="I57" s="16" t="s">
        <v>1</v>
      </c>
      <c r="J57" s="16">
        <v>1</v>
      </c>
      <c r="K57" s="16">
        <v>270</v>
      </c>
      <c r="L57" s="17">
        <v>0.3158627335510466</v>
      </c>
      <c r="M57" s="161">
        <v>0.34168564920273342</v>
      </c>
      <c r="R57" s="171" t="s">
        <v>5</v>
      </c>
      <c r="S57" s="1" t="s">
        <v>14</v>
      </c>
      <c r="T57" s="1">
        <v>2</v>
      </c>
      <c r="U57" s="1">
        <v>290</v>
      </c>
      <c r="V57" s="175">
        <v>9987.3632385120363</v>
      </c>
      <c r="W57" s="175">
        <v>0</v>
      </c>
      <c r="X57" s="175">
        <v>0</v>
      </c>
      <c r="Y57" s="175">
        <v>3305.1603614735836</v>
      </c>
      <c r="Z57" s="175">
        <v>6682.2028770384532</v>
      </c>
      <c r="AA57" s="175">
        <v>0.50333822624177282</v>
      </c>
      <c r="AB57" s="175">
        <v>5027.0216973049364</v>
      </c>
      <c r="AC57" s="175">
        <v>0.45270981728089188</v>
      </c>
      <c r="AD57" s="175">
        <v>4521.3773868246808</v>
      </c>
      <c r="AE57" s="175">
        <v>4579.8687089715531</v>
      </c>
      <c r="AF57" s="175">
        <v>0.45856635025661519</v>
      </c>
      <c r="AG57" s="175">
        <v>96.774000000000001</v>
      </c>
      <c r="AH57" s="176">
        <v>19</v>
      </c>
    </row>
    <row r="58" spans="1:34" x14ac:dyDescent="0.25">
      <c r="A58" s="57" t="s">
        <v>9</v>
      </c>
      <c r="B58" s="34" t="s">
        <v>1</v>
      </c>
      <c r="C58" s="34">
        <v>2</v>
      </c>
      <c r="D58" s="34">
        <v>284</v>
      </c>
      <c r="E58" s="35" t="s">
        <v>41</v>
      </c>
      <c r="F58" s="35">
        <v>0.41617138908085699</v>
      </c>
      <c r="H58" s="160" t="s">
        <v>12</v>
      </c>
      <c r="I58" s="16" t="s">
        <v>1</v>
      </c>
      <c r="J58" s="16">
        <v>2</v>
      </c>
      <c r="K58" s="16">
        <v>270</v>
      </c>
      <c r="L58" s="17">
        <v>0.37474638978398378</v>
      </c>
      <c r="M58" s="161">
        <v>0.39489246662965555</v>
      </c>
      <c r="R58" s="171" t="s">
        <v>6</v>
      </c>
      <c r="S58" s="1" t="s">
        <v>14</v>
      </c>
      <c r="T58" s="1">
        <v>2</v>
      </c>
      <c r="U58" s="1">
        <v>287</v>
      </c>
      <c r="V58" s="175">
        <v>6876.3129102844623</v>
      </c>
      <c r="W58" s="175">
        <v>91.160987340217133</v>
      </c>
      <c r="X58" s="175">
        <v>0</v>
      </c>
      <c r="Y58" s="175">
        <v>2215.2119923672753</v>
      </c>
      <c r="Z58" s="175">
        <v>4569.9399305769693</v>
      </c>
      <c r="AA58" s="175">
        <v>0.49570580436912787</v>
      </c>
      <c r="AB58" s="175">
        <v>3408.6282222863779</v>
      </c>
      <c r="AC58" s="175">
        <v>0.46192893401015239</v>
      </c>
      <c r="AD58" s="175">
        <v>3176.3678925679505</v>
      </c>
      <c r="AE58" s="175">
        <v>3208.4245076586431</v>
      </c>
      <c r="AF58" s="175">
        <v>0.46659082411156816</v>
      </c>
      <c r="AG58" s="175">
        <v>90.931999999999988</v>
      </c>
      <c r="AH58" s="176">
        <v>18.600000000000001</v>
      </c>
    </row>
    <row r="59" spans="1:34" x14ac:dyDescent="0.25">
      <c r="A59" s="57" t="s">
        <v>9</v>
      </c>
      <c r="B59" s="34" t="s">
        <v>1</v>
      </c>
      <c r="C59" s="34">
        <v>3</v>
      </c>
      <c r="D59" s="34">
        <v>284</v>
      </c>
      <c r="E59" s="35" t="s">
        <v>41</v>
      </c>
      <c r="F59" s="35">
        <v>0.45741543798785778</v>
      </c>
      <c r="H59" s="160" t="s">
        <v>12</v>
      </c>
      <c r="I59" s="16" t="s">
        <v>1</v>
      </c>
      <c r="J59" s="16">
        <v>3</v>
      </c>
      <c r="K59" s="16">
        <v>270</v>
      </c>
      <c r="L59" s="17">
        <v>0.42492309893411545</v>
      </c>
      <c r="M59" s="161">
        <v>0.38679089860696697</v>
      </c>
      <c r="R59" s="171" t="s">
        <v>12</v>
      </c>
      <c r="S59" s="1" t="s">
        <v>14</v>
      </c>
      <c r="T59" s="1">
        <v>2</v>
      </c>
      <c r="U59" s="1">
        <v>270</v>
      </c>
      <c r="V59" s="175">
        <v>6387.8008752735232</v>
      </c>
      <c r="W59" s="175">
        <v>0</v>
      </c>
      <c r="X59" s="175">
        <v>0</v>
      </c>
      <c r="Y59" s="175">
        <v>1626.1685381485174</v>
      </c>
      <c r="Z59" s="175">
        <v>4761.6323371250046</v>
      </c>
      <c r="AA59" s="175">
        <v>0.4853683696183288</v>
      </c>
      <c r="AB59" s="175">
        <v>3100.4364962780437</v>
      </c>
      <c r="AC59" s="175">
        <v>0.4842907981698017</v>
      </c>
      <c r="AD59" s="175">
        <v>3093.5531844359725</v>
      </c>
      <c r="AE59" s="175">
        <v>3094.6389496717725</v>
      </c>
      <c r="AF59" s="175">
        <v>0.48446077297912971</v>
      </c>
      <c r="AG59" s="175">
        <v>51.815999999999995</v>
      </c>
      <c r="AH59" s="176">
        <v>14.6</v>
      </c>
    </row>
    <row r="60" spans="1:34" x14ac:dyDescent="0.25">
      <c r="A60" s="57" t="s">
        <v>9</v>
      </c>
      <c r="B60" s="34" t="s">
        <v>14</v>
      </c>
      <c r="C60" s="34">
        <v>1</v>
      </c>
      <c r="D60" s="34">
        <v>287</v>
      </c>
      <c r="E60" s="35" t="s">
        <v>41</v>
      </c>
      <c r="F60" s="35">
        <v>0.48577878103837469</v>
      </c>
      <c r="H60" s="160" t="s">
        <v>6</v>
      </c>
      <c r="I60" s="16" t="s">
        <v>1</v>
      </c>
      <c r="J60" s="16">
        <v>1</v>
      </c>
      <c r="K60" s="16">
        <v>274</v>
      </c>
      <c r="L60" s="17">
        <v>0.51034057001749145</v>
      </c>
      <c r="M60" s="161">
        <v>0.51034057001749134</v>
      </c>
      <c r="R60" s="171" t="s">
        <v>0</v>
      </c>
      <c r="S60" s="1" t="s">
        <v>14</v>
      </c>
      <c r="T60" s="1">
        <v>2</v>
      </c>
      <c r="U60" s="1">
        <v>287</v>
      </c>
      <c r="V60" s="175">
        <v>9013.6214442013134</v>
      </c>
      <c r="W60" s="175">
        <v>0</v>
      </c>
      <c r="X60" s="175">
        <v>0</v>
      </c>
      <c r="Y60" s="175">
        <v>2050.734246844685</v>
      </c>
      <c r="Z60" s="175">
        <v>6962.8871973566283</v>
      </c>
      <c r="AA60" s="175">
        <v>0.30544039258820538</v>
      </c>
      <c r="AB60" s="175">
        <v>2753.1240725583157</v>
      </c>
      <c r="AC60" s="175">
        <v>0.50872834259561939</v>
      </c>
      <c r="AD60" s="175">
        <v>4585.4846980928669</v>
      </c>
      <c r="AE60" s="175">
        <v>4454.0481400437629</v>
      </c>
      <c r="AF60" s="175">
        <v>0.49414635034502841</v>
      </c>
      <c r="AG60" s="175">
        <v>77.977999999999994</v>
      </c>
      <c r="AH60" s="176">
        <v>17</v>
      </c>
    </row>
    <row r="61" spans="1:34" x14ac:dyDescent="0.25">
      <c r="A61" s="57" t="s">
        <v>9</v>
      </c>
      <c r="B61" s="34" t="s">
        <v>14</v>
      </c>
      <c r="C61" s="34">
        <v>2</v>
      </c>
      <c r="D61" s="34">
        <v>287</v>
      </c>
      <c r="E61" s="35" t="s">
        <v>41</v>
      </c>
      <c r="F61" s="35">
        <v>0.48907563025210088</v>
      </c>
      <c r="H61" s="160" t="s">
        <v>6</v>
      </c>
      <c r="I61" s="16" t="s">
        <v>1</v>
      </c>
      <c r="J61" s="16">
        <v>2</v>
      </c>
      <c r="K61" s="16">
        <v>274</v>
      </c>
      <c r="L61" s="17">
        <v>0.53257091602197559</v>
      </c>
      <c r="M61" s="161">
        <v>0.47303117774184295</v>
      </c>
      <c r="R61" s="171" t="s">
        <v>13</v>
      </c>
      <c r="S61" s="1" t="s">
        <v>14</v>
      </c>
      <c r="T61" s="1">
        <v>2</v>
      </c>
      <c r="U61" s="1">
        <v>270</v>
      </c>
      <c r="V61" s="175">
        <v>5845.1859956236322</v>
      </c>
      <c r="W61" s="175" t="s">
        <v>41</v>
      </c>
      <c r="X61" s="175" t="s">
        <v>41</v>
      </c>
      <c r="Y61" s="175" t="s">
        <v>41</v>
      </c>
      <c r="Z61" s="175" t="s">
        <v>41</v>
      </c>
      <c r="AA61" s="175" t="s">
        <v>41</v>
      </c>
      <c r="AB61" s="175" t="s">
        <v>41</v>
      </c>
      <c r="AC61" s="175">
        <v>0.44014974262985496</v>
      </c>
      <c r="AD61" s="175">
        <v>2572.7571115973742</v>
      </c>
      <c r="AE61" s="175">
        <v>2572.7571115973742</v>
      </c>
      <c r="AF61" s="175">
        <v>0.44014974262985496</v>
      </c>
      <c r="AG61" s="175" t="s">
        <v>41</v>
      </c>
      <c r="AH61" s="176" t="s">
        <v>41</v>
      </c>
    </row>
    <row r="62" spans="1:34" x14ac:dyDescent="0.25">
      <c r="A62" s="57" t="s">
        <v>9</v>
      </c>
      <c r="B62" s="34" t="s">
        <v>14</v>
      </c>
      <c r="C62" s="34">
        <v>3</v>
      </c>
      <c r="D62" s="34">
        <v>287</v>
      </c>
      <c r="E62" s="35" t="s">
        <v>41</v>
      </c>
      <c r="F62" s="35">
        <v>0.46129855401190817</v>
      </c>
      <c r="H62" s="160" t="s">
        <v>6</v>
      </c>
      <c r="I62" s="16" t="s">
        <v>1</v>
      </c>
      <c r="J62" s="16">
        <v>3</v>
      </c>
      <c r="K62" s="16">
        <v>274</v>
      </c>
      <c r="L62" s="17">
        <v>0.49487615222205045</v>
      </c>
      <c r="M62" s="161">
        <v>0.43086867951154556</v>
      </c>
      <c r="R62" s="171" t="s">
        <v>7</v>
      </c>
      <c r="S62" s="1" t="s">
        <v>14</v>
      </c>
      <c r="T62" s="1">
        <v>2</v>
      </c>
      <c r="U62" s="1">
        <v>290</v>
      </c>
      <c r="V62" s="175">
        <v>8088.0743982494523</v>
      </c>
      <c r="W62" s="175" t="s">
        <v>41</v>
      </c>
      <c r="X62" s="175" t="s">
        <v>41</v>
      </c>
      <c r="Y62" s="175" t="s">
        <v>41</v>
      </c>
      <c r="Z62" s="175" t="s">
        <v>41</v>
      </c>
      <c r="AA62" s="175" t="s">
        <v>41</v>
      </c>
      <c r="AB62" s="175" t="s">
        <v>41</v>
      </c>
      <c r="AC62" s="175">
        <v>0.45613797768008119</v>
      </c>
      <c r="AD62" s="175">
        <v>3689.277899343545</v>
      </c>
      <c r="AE62" s="175">
        <v>3689.2778993435445</v>
      </c>
      <c r="AF62" s="175">
        <v>0.45613797768008113</v>
      </c>
      <c r="AG62" s="175" t="s">
        <v>41</v>
      </c>
      <c r="AH62" s="176" t="s">
        <v>41</v>
      </c>
    </row>
    <row r="63" spans="1:34" x14ac:dyDescent="0.25">
      <c r="A63" s="57" t="s">
        <v>8</v>
      </c>
      <c r="B63" s="34" t="s">
        <v>1</v>
      </c>
      <c r="C63" s="34">
        <v>1</v>
      </c>
      <c r="D63" s="34">
        <v>284</v>
      </c>
      <c r="E63" s="35" t="s">
        <v>41</v>
      </c>
      <c r="F63" s="35">
        <v>0.42478688524590164</v>
      </c>
      <c r="H63" s="162" t="s">
        <v>7</v>
      </c>
      <c r="I63" s="34" t="s">
        <v>1</v>
      </c>
      <c r="J63" s="34">
        <v>1</v>
      </c>
      <c r="K63" s="34">
        <v>284</v>
      </c>
      <c r="L63" s="35" t="s">
        <v>41</v>
      </c>
      <c r="M63" s="163">
        <v>0.48477703741670941</v>
      </c>
      <c r="R63" s="171" t="s">
        <v>4</v>
      </c>
      <c r="S63" s="1" t="s">
        <v>14</v>
      </c>
      <c r="T63" s="1">
        <v>2</v>
      </c>
      <c r="U63" s="1">
        <v>290</v>
      </c>
      <c r="V63" s="175">
        <v>7038.2385120350109</v>
      </c>
      <c r="W63" s="175">
        <v>13.974925895893232</v>
      </c>
      <c r="X63" s="175">
        <v>27.949851791786465</v>
      </c>
      <c r="Y63" s="175">
        <v>2463.7794354459706</v>
      </c>
      <c r="Z63" s="175">
        <v>4532.5342989013607</v>
      </c>
      <c r="AA63" s="175">
        <v>0.47388973459527434</v>
      </c>
      <c r="AB63" s="175">
        <v>3335.3489804865098</v>
      </c>
      <c r="AC63" s="175">
        <v>0.45891677675033016</v>
      </c>
      <c r="AD63" s="175">
        <v>3229.9657319431471</v>
      </c>
      <c r="AE63" s="175">
        <v>3242.34135667396</v>
      </c>
      <c r="AF63" s="175">
        <v>0.46067511794744237</v>
      </c>
      <c r="AG63" s="175">
        <v>66.294000000000011</v>
      </c>
      <c r="AH63" s="176">
        <v>13.8</v>
      </c>
    </row>
    <row r="64" spans="1:34" x14ac:dyDescent="0.25">
      <c r="A64" s="57" t="s">
        <v>8</v>
      </c>
      <c r="B64" s="34" t="s">
        <v>1</v>
      </c>
      <c r="C64" s="34">
        <v>2</v>
      </c>
      <c r="D64" s="34">
        <v>284</v>
      </c>
      <c r="E64" s="35" t="s">
        <v>41</v>
      </c>
      <c r="F64" s="35">
        <v>0.3962321024868124</v>
      </c>
      <c r="H64" s="162" t="s">
        <v>7</v>
      </c>
      <c r="I64" s="34" t="s">
        <v>1</v>
      </c>
      <c r="J64" s="34">
        <v>2</v>
      </c>
      <c r="K64" s="34">
        <v>284</v>
      </c>
      <c r="L64" s="35" t="s">
        <v>41</v>
      </c>
      <c r="M64" s="163">
        <v>0.47307968413496049</v>
      </c>
      <c r="R64" s="171" t="s">
        <v>3</v>
      </c>
      <c r="S64" s="1" t="s">
        <v>14</v>
      </c>
      <c r="T64" s="1">
        <v>3</v>
      </c>
      <c r="U64" s="1">
        <v>290</v>
      </c>
      <c r="V64" s="175">
        <v>9500.4923413566739</v>
      </c>
      <c r="W64" s="175">
        <v>0</v>
      </c>
      <c r="X64" s="175">
        <v>0</v>
      </c>
      <c r="Y64" s="175">
        <v>2192.4213095438472</v>
      </c>
      <c r="Z64" s="175">
        <v>7308.0710318128258</v>
      </c>
      <c r="AA64" s="175">
        <v>0.57447392139190412</v>
      </c>
      <c r="AB64" s="175">
        <v>5457.785090492921</v>
      </c>
      <c r="AC64" s="175">
        <v>0.47512656091798849</v>
      </c>
      <c r="AD64" s="175">
        <v>4513.9362531764846</v>
      </c>
      <c r="AE64" s="175">
        <v>4652.6258205689273</v>
      </c>
      <c r="AF64" s="175">
        <v>0.48972470619396663</v>
      </c>
      <c r="AG64" s="175">
        <v>92.456000000000003</v>
      </c>
      <c r="AH64" s="176">
        <v>20.2</v>
      </c>
    </row>
    <row r="65" spans="1:34" x14ac:dyDescent="0.25">
      <c r="A65" s="57" t="s">
        <v>8</v>
      </c>
      <c r="B65" s="34" t="s">
        <v>1</v>
      </c>
      <c r="C65" s="34">
        <v>3</v>
      </c>
      <c r="D65" s="34">
        <v>284</v>
      </c>
      <c r="E65" s="35" t="s">
        <v>41</v>
      </c>
      <c r="F65" s="35">
        <v>0.44733727810650897</v>
      </c>
      <c r="H65" s="162" t="s">
        <v>7</v>
      </c>
      <c r="I65" s="34" t="s">
        <v>1</v>
      </c>
      <c r="J65" s="34">
        <v>3</v>
      </c>
      <c r="K65" s="34">
        <v>284</v>
      </c>
      <c r="L65" s="35" t="s">
        <v>41</v>
      </c>
      <c r="M65" s="163">
        <v>0.50672451193058576</v>
      </c>
      <c r="R65" s="171" t="s">
        <v>0</v>
      </c>
      <c r="S65" s="1" t="s">
        <v>14</v>
      </c>
      <c r="T65" s="1">
        <v>3</v>
      </c>
      <c r="U65" s="1">
        <v>287</v>
      </c>
      <c r="V65" s="175">
        <v>8017.9978118161916</v>
      </c>
      <c r="W65" s="175">
        <v>0</v>
      </c>
      <c r="X65" s="175">
        <v>0</v>
      </c>
      <c r="Y65" s="175">
        <v>1624.0529457987645</v>
      </c>
      <c r="Z65" s="175">
        <v>6393.9448660174276</v>
      </c>
      <c r="AA65" s="175">
        <v>0.5604153733280659</v>
      </c>
      <c r="AB65" s="175">
        <v>4493.4092370525868</v>
      </c>
      <c r="AC65" s="175">
        <v>0.51664726426076835</v>
      </c>
      <c r="AD65" s="175">
        <v>4142.4766343236624</v>
      </c>
      <c r="AE65" s="175">
        <v>4184.9015317286648</v>
      </c>
      <c r="AF65" s="175">
        <v>0.5219384726647518</v>
      </c>
      <c r="AG65" s="175">
        <v>77.724000000000004</v>
      </c>
      <c r="AH65" s="176">
        <v>17</v>
      </c>
    </row>
    <row r="66" spans="1:34" x14ac:dyDescent="0.25">
      <c r="A66" s="57" t="s">
        <v>8</v>
      </c>
      <c r="B66" s="34" t="s">
        <v>14</v>
      </c>
      <c r="C66" s="34">
        <v>1</v>
      </c>
      <c r="D66" s="34">
        <v>290</v>
      </c>
      <c r="E66" s="35" t="s">
        <v>41</v>
      </c>
      <c r="F66" s="35">
        <v>0.42135396518375229</v>
      </c>
      <c r="H66" s="162" t="s">
        <v>9</v>
      </c>
      <c r="I66" s="34" t="s">
        <v>1</v>
      </c>
      <c r="J66" s="34">
        <v>1</v>
      </c>
      <c r="K66" s="34">
        <v>280</v>
      </c>
      <c r="L66" s="35" t="s">
        <v>41</v>
      </c>
      <c r="M66" s="163">
        <v>0.35387021110242373</v>
      </c>
      <c r="R66" s="171" t="s">
        <v>9</v>
      </c>
      <c r="S66" s="1" t="s">
        <v>14</v>
      </c>
      <c r="T66" s="1">
        <v>3</v>
      </c>
      <c r="U66" s="1">
        <v>287</v>
      </c>
      <c r="V66" s="175">
        <v>9647.155361050327</v>
      </c>
      <c r="W66" s="175" t="s">
        <v>41</v>
      </c>
      <c r="X66" s="175" t="s">
        <v>41</v>
      </c>
      <c r="Y66" s="175" t="s">
        <v>41</v>
      </c>
      <c r="Z66" s="175" t="s">
        <v>41</v>
      </c>
      <c r="AA66" s="175" t="s">
        <v>41</v>
      </c>
      <c r="AB66" s="175" t="s">
        <v>41</v>
      </c>
      <c r="AC66" s="175">
        <v>0.46129855401190811</v>
      </c>
      <c r="AD66" s="175">
        <v>4450.218818380743</v>
      </c>
      <c r="AE66" s="175">
        <v>4450.2188183807439</v>
      </c>
      <c r="AF66" s="175">
        <v>0.46129855401190817</v>
      </c>
      <c r="AG66" s="175" t="s">
        <v>41</v>
      </c>
      <c r="AH66" s="176" t="s">
        <v>41</v>
      </c>
    </row>
    <row r="67" spans="1:34" x14ac:dyDescent="0.25">
      <c r="A67" s="57" t="s">
        <v>8</v>
      </c>
      <c r="B67" s="34" t="s">
        <v>14</v>
      </c>
      <c r="C67" s="34">
        <v>2</v>
      </c>
      <c r="D67" s="34">
        <v>290</v>
      </c>
      <c r="E67" s="35" t="s">
        <v>41</v>
      </c>
      <c r="F67" s="35">
        <v>0.44506706408345753</v>
      </c>
      <c r="H67" s="162" t="s">
        <v>9</v>
      </c>
      <c r="I67" s="34" t="s">
        <v>1</v>
      </c>
      <c r="J67" s="34">
        <v>2</v>
      </c>
      <c r="K67" s="34">
        <v>284</v>
      </c>
      <c r="L67" s="35" t="s">
        <v>41</v>
      </c>
      <c r="M67" s="163">
        <v>0.41617138908085699</v>
      </c>
      <c r="R67" s="171" t="s">
        <v>10</v>
      </c>
      <c r="S67" s="1" t="s">
        <v>14</v>
      </c>
      <c r="T67" s="1">
        <v>3</v>
      </c>
      <c r="U67" s="1">
        <v>274</v>
      </c>
      <c r="V67" s="175">
        <v>6188.6761487964995</v>
      </c>
      <c r="W67" s="175">
        <v>0</v>
      </c>
      <c r="X67" s="175">
        <v>107.91883803200996</v>
      </c>
      <c r="Y67" s="175">
        <v>1592.7412856506855</v>
      </c>
      <c r="Z67" s="175">
        <v>4488.0160251138041</v>
      </c>
      <c r="AA67" s="175">
        <v>0.44618825580954541</v>
      </c>
      <c r="AB67" s="175">
        <v>2761.314616601645</v>
      </c>
      <c r="AC67" s="175">
        <v>0.48772334293948127</v>
      </c>
      <c r="AD67" s="175">
        <v>3018.3618196608636</v>
      </c>
      <c r="AE67" s="175">
        <v>2958.4245076586435</v>
      </c>
      <c r="AF67" s="175">
        <v>0.47803834560545921</v>
      </c>
      <c r="AG67" s="175">
        <v>52.324000000000005</v>
      </c>
      <c r="AH67" s="176">
        <v>14.2</v>
      </c>
    </row>
    <row r="68" spans="1:34" x14ac:dyDescent="0.25">
      <c r="A68" s="57" t="s">
        <v>8</v>
      </c>
      <c r="B68" s="34" t="s">
        <v>14</v>
      </c>
      <c r="C68" s="34">
        <v>3</v>
      </c>
      <c r="D68" s="34">
        <v>290</v>
      </c>
      <c r="E68" s="35" t="s">
        <v>41</v>
      </c>
      <c r="F68" s="35">
        <v>0.42362313820574993</v>
      </c>
      <c r="H68" s="162" t="s">
        <v>9</v>
      </c>
      <c r="I68" s="34" t="s">
        <v>1</v>
      </c>
      <c r="J68" s="34">
        <v>3</v>
      </c>
      <c r="K68" s="34">
        <v>284</v>
      </c>
      <c r="L68" s="35" t="s">
        <v>41</v>
      </c>
      <c r="M68" s="163">
        <v>0.45741543798785778</v>
      </c>
      <c r="R68" s="171" t="s">
        <v>13</v>
      </c>
      <c r="S68" s="1" t="s">
        <v>14</v>
      </c>
      <c r="T68" s="1">
        <v>3</v>
      </c>
      <c r="U68" s="1">
        <v>270</v>
      </c>
      <c r="V68" s="175">
        <v>8306.8927789934351</v>
      </c>
      <c r="W68" s="175" t="s">
        <v>41</v>
      </c>
      <c r="X68" s="175" t="s">
        <v>41</v>
      </c>
      <c r="Y68" s="175" t="s">
        <v>41</v>
      </c>
      <c r="Z68" s="175" t="s">
        <v>41</v>
      </c>
      <c r="AA68" s="175" t="s">
        <v>41</v>
      </c>
      <c r="AB68" s="175" t="s">
        <v>41</v>
      </c>
      <c r="AC68" s="175">
        <v>0.48653276259466571</v>
      </c>
      <c r="AD68" s="175">
        <v>4041.575492341356</v>
      </c>
      <c r="AE68" s="175">
        <v>4041.575492341356</v>
      </c>
      <c r="AF68" s="175">
        <v>0.48653276259466571</v>
      </c>
      <c r="AG68" s="175" t="s">
        <v>41</v>
      </c>
      <c r="AH68" s="176" t="s">
        <v>41</v>
      </c>
    </row>
    <row r="69" spans="1:34" x14ac:dyDescent="0.25">
      <c r="A69" s="16" t="s">
        <v>5</v>
      </c>
      <c r="B69" s="16" t="s">
        <v>1</v>
      </c>
      <c r="C69" s="16">
        <v>1</v>
      </c>
      <c r="D69" s="16">
        <v>274</v>
      </c>
      <c r="E69" s="17">
        <v>0.48108462715941397</v>
      </c>
      <c r="F69" s="17">
        <v>0.42917968560281045</v>
      </c>
      <c r="H69" s="162" t="s">
        <v>8</v>
      </c>
      <c r="I69" s="34" t="s">
        <v>1</v>
      </c>
      <c r="J69" s="34">
        <v>1</v>
      </c>
      <c r="K69" s="34">
        <v>284</v>
      </c>
      <c r="L69" s="35" t="s">
        <v>41</v>
      </c>
      <c r="M69" s="163">
        <v>0.42478688524590164</v>
      </c>
      <c r="R69" s="171" t="s">
        <v>12</v>
      </c>
      <c r="S69" s="1" t="s">
        <v>14</v>
      </c>
      <c r="T69" s="1">
        <v>3</v>
      </c>
      <c r="U69" s="1">
        <v>270</v>
      </c>
      <c r="V69" s="175">
        <v>6199.6170678336985</v>
      </c>
      <c r="W69" s="175">
        <v>0</v>
      </c>
      <c r="X69" s="175">
        <v>19.395016636426444</v>
      </c>
      <c r="Y69" s="175">
        <v>1806.6457996831189</v>
      </c>
      <c r="Z69" s="175">
        <v>4373.5762515141532</v>
      </c>
      <c r="AA69" s="175">
        <v>0.43276500338912349</v>
      </c>
      <c r="AB69" s="175">
        <v>2682.9773013723184</v>
      </c>
      <c r="AC69" s="175">
        <v>0.43037705788635156</v>
      </c>
      <c r="AD69" s="175">
        <v>2668.1729536762768</v>
      </c>
      <c r="AE69" s="175">
        <v>2670.6783369803061</v>
      </c>
      <c r="AF69" s="175">
        <v>0.43078117692735302</v>
      </c>
      <c r="AG69" s="175">
        <v>60.452000000000005</v>
      </c>
      <c r="AH69" s="176">
        <v>17</v>
      </c>
    </row>
    <row r="70" spans="1:34" x14ac:dyDescent="0.25">
      <c r="A70" s="16" t="s">
        <v>5</v>
      </c>
      <c r="B70" s="16" t="s">
        <v>1</v>
      </c>
      <c r="C70" s="16">
        <v>2</v>
      </c>
      <c r="D70" s="16">
        <v>274</v>
      </c>
      <c r="E70" s="17">
        <v>0.48976232122646363</v>
      </c>
      <c r="F70" s="17">
        <v>0.4192244347956281</v>
      </c>
      <c r="H70" s="162" t="s">
        <v>8</v>
      </c>
      <c r="I70" s="34" t="s">
        <v>1</v>
      </c>
      <c r="J70" s="34">
        <v>2</v>
      </c>
      <c r="K70" s="34">
        <v>284</v>
      </c>
      <c r="L70" s="35" t="s">
        <v>41</v>
      </c>
      <c r="M70" s="163">
        <v>0.3962321024868124</v>
      </c>
      <c r="R70" s="171" t="s">
        <v>11</v>
      </c>
      <c r="S70" s="1" t="s">
        <v>14</v>
      </c>
      <c r="T70" s="1">
        <v>3</v>
      </c>
      <c r="U70" s="1">
        <v>270</v>
      </c>
      <c r="V70" s="175">
        <v>6229.1575492341353</v>
      </c>
      <c r="W70" s="175">
        <v>0</v>
      </c>
      <c r="X70" s="175">
        <v>0</v>
      </c>
      <c r="Y70" s="175">
        <v>2095.2169733284004</v>
      </c>
      <c r="Z70" s="175">
        <v>4133.9405759057345</v>
      </c>
      <c r="AA70" s="175">
        <v>0.38911698020712054</v>
      </c>
      <c r="AB70" s="175">
        <v>2423.8709747923745</v>
      </c>
      <c r="AC70" s="175">
        <v>0.39261916965658639</v>
      </c>
      <c r="AD70" s="175">
        <v>2445.6866646403628</v>
      </c>
      <c r="AE70" s="175">
        <v>2442.5601750547044</v>
      </c>
      <c r="AF70" s="175">
        <v>0.39211725755034293</v>
      </c>
      <c r="AG70" s="175">
        <v>77.215999999999994</v>
      </c>
      <c r="AH70" s="176">
        <v>15.6</v>
      </c>
    </row>
    <row r="71" spans="1:34" x14ac:dyDescent="0.25">
      <c r="A71" s="16" t="s">
        <v>5</v>
      </c>
      <c r="B71" s="16" t="s">
        <v>1</v>
      </c>
      <c r="C71" s="16">
        <v>3</v>
      </c>
      <c r="D71" s="16">
        <v>274</v>
      </c>
      <c r="E71" s="17">
        <v>0.53046867572963208</v>
      </c>
      <c r="F71" s="17">
        <v>0.48000943507489091</v>
      </c>
      <c r="H71" s="162" t="s">
        <v>8</v>
      </c>
      <c r="I71" s="34" t="s">
        <v>1</v>
      </c>
      <c r="J71" s="34">
        <v>3</v>
      </c>
      <c r="K71" s="34">
        <v>284</v>
      </c>
      <c r="L71" s="35" t="s">
        <v>41</v>
      </c>
      <c r="M71" s="163">
        <v>0.44733727810650897</v>
      </c>
      <c r="R71" s="171" t="s">
        <v>4</v>
      </c>
      <c r="S71" s="1" t="s">
        <v>14</v>
      </c>
      <c r="T71" s="1">
        <v>3</v>
      </c>
      <c r="U71" s="1">
        <v>290</v>
      </c>
      <c r="V71" s="175">
        <v>8606.6192560175059</v>
      </c>
      <c r="W71" s="175">
        <v>0</v>
      </c>
      <c r="X71" s="175">
        <v>70.333473668869814</v>
      </c>
      <c r="Y71" s="175">
        <v>2632.6698362678808</v>
      </c>
      <c r="Z71" s="175">
        <v>5903.6159460807548</v>
      </c>
      <c r="AA71" s="175">
        <v>0.4831707441646661</v>
      </c>
      <c r="AB71" s="175">
        <v>4158.4666306719237</v>
      </c>
      <c r="AC71" s="175">
        <v>0.51034482758620692</v>
      </c>
      <c r="AD71" s="175">
        <v>4392.3436203123829</v>
      </c>
      <c r="AE71" s="175">
        <v>4363.2385120350109</v>
      </c>
      <c r="AF71" s="175">
        <v>0.50696311550953732</v>
      </c>
      <c r="AG71" s="175">
        <v>72.39</v>
      </c>
      <c r="AH71" s="176">
        <v>14.4</v>
      </c>
    </row>
    <row r="72" spans="1:34" x14ac:dyDescent="0.25">
      <c r="A72" s="16" t="s">
        <v>5</v>
      </c>
      <c r="B72" s="16" t="s">
        <v>14</v>
      </c>
      <c r="C72" s="16">
        <v>1</v>
      </c>
      <c r="D72" s="16">
        <v>290</v>
      </c>
      <c r="E72" s="17">
        <v>0.43797751715411937</v>
      </c>
      <c r="F72" s="17">
        <v>0.46843097476174006</v>
      </c>
      <c r="H72" s="160" t="s">
        <v>5</v>
      </c>
      <c r="I72" s="16" t="s">
        <v>1</v>
      </c>
      <c r="J72" s="16">
        <v>1</v>
      </c>
      <c r="K72" s="16">
        <v>274</v>
      </c>
      <c r="L72" s="17">
        <v>0.48108462715941397</v>
      </c>
      <c r="M72" s="161">
        <v>0.42917968560281045</v>
      </c>
      <c r="R72" s="171" t="s">
        <v>5</v>
      </c>
      <c r="S72" s="1" t="s">
        <v>14</v>
      </c>
      <c r="T72" s="1">
        <v>3</v>
      </c>
      <c r="U72" s="1">
        <v>290</v>
      </c>
      <c r="V72" s="175">
        <v>7038.785557986871</v>
      </c>
      <c r="W72" s="175">
        <v>0</v>
      </c>
      <c r="X72" s="175">
        <v>0</v>
      </c>
      <c r="Y72" s="175">
        <v>2795.5097208571947</v>
      </c>
      <c r="Z72" s="175">
        <v>4243.2758371296768</v>
      </c>
      <c r="AA72" s="175">
        <v>0.39963140792472956</v>
      </c>
      <c r="AB72" s="175">
        <v>2812.9197826185464</v>
      </c>
      <c r="AC72" s="175">
        <v>0.44775566867191113</v>
      </c>
      <c r="AD72" s="175">
        <v>3151.6561341546026</v>
      </c>
      <c r="AE72" s="175">
        <v>3097.3741794310722</v>
      </c>
      <c r="AF72" s="175">
        <v>0.44004383340198494</v>
      </c>
      <c r="AG72" s="175">
        <v>96.012</v>
      </c>
      <c r="AH72" s="176">
        <v>26.8</v>
      </c>
    </row>
    <row r="73" spans="1:34" x14ac:dyDescent="0.25">
      <c r="A73" s="16" t="s">
        <v>5</v>
      </c>
      <c r="B73" s="16" t="s">
        <v>14</v>
      </c>
      <c r="C73" s="16">
        <v>2</v>
      </c>
      <c r="D73" s="16">
        <v>290</v>
      </c>
      <c r="E73" s="17">
        <v>0.50333822624177282</v>
      </c>
      <c r="F73" s="17">
        <v>0.45856635025661519</v>
      </c>
      <c r="H73" s="160" t="s">
        <v>5</v>
      </c>
      <c r="I73" s="16" t="s">
        <v>1</v>
      </c>
      <c r="J73" s="16">
        <v>2</v>
      </c>
      <c r="K73" s="16">
        <v>274</v>
      </c>
      <c r="L73" s="17">
        <v>0.48976232122646363</v>
      </c>
      <c r="M73" s="161">
        <v>0.4192244347956281</v>
      </c>
      <c r="R73" s="171" t="s">
        <v>7</v>
      </c>
      <c r="S73" s="1" t="s">
        <v>14</v>
      </c>
      <c r="T73" s="1">
        <v>3</v>
      </c>
      <c r="U73" s="1">
        <v>290</v>
      </c>
      <c r="V73" s="175">
        <v>7201.8599562363233</v>
      </c>
      <c r="W73" s="175" t="s">
        <v>41</v>
      </c>
      <c r="X73" s="175" t="s">
        <v>41</v>
      </c>
      <c r="Y73" s="175" t="s">
        <v>41</v>
      </c>
      <c r="Z73" s="175" t="s">
        <v>41</v>
      </c>
      <c r="AA73" s="175" t="s">
        <v>41</v>
      </c>
      <c r="AB73" s="175" t="s">
        <v>41</v>
      </c>
      <c r="AC73" s="175">
        <v>0.50018989745537412</v>
      </c>
      <c r="AD73" s="175">
        <v>3602.2975929978115</v>
      </c>
      <c r="AE73" s="175">
        <v>3602.2975929978115</v>
      </c>
      <c r="AF73" s="175">
        <v>0.50018989745537412</v>
      </c>
      <c r="AG73" s="175" t="s">
        <v>41</v>
      </c>
      <c r="AH73" s="176" t="s">
        <v>41</v>
      </c>
    </row>
    <row r="74" spans="1:34" ht="15.75" thickBot="1" x14ac:dyDescent="0.3">
      <c r="A74" s="16" t="s">
        <v>5</v>
      </c>
      <c r="B74" s="16" t="s">
        <v>14</v>
      </c>
      <c r="C74" s="16">
        <v>3</v>
      </c>
      <c r="D74" s="16">
        <v>290</v>
      </c>
      <c r="E74" s="17">
        <v>0.39963140792472956</v>
      </c>
      <c r="F74" s="17">
        <v>0.44004383340198494</v>
      </c>
      <c r="H74" s="164" t="s">
        <v>5</v>
      </c>
      <c r="I74" s="165" t="s">
        <v>1</v>
      </c>
      <c r="J74" s="165">
        <v>3</v>
      </c>
      <c r="K74" s="165">
        <v>274</v>
      </c>
      <c r="L74" s="166">
        <v>0.53046867572963208</v>
      </c>
      <c r="M74" s="167">
        <v>0.48000943507489091</v>
      </c>
      <c r="N74" s="60" t="s">
        <v>1</v>
      </c>
      <c r="R74" s="171" t="s">
        <v>6</v>
      </c>
      <c r="S74" s="1" t="s">
        <v>14</v>
      </c>
      <c r="T74" s="1">
        <v>3</v>
      </c>
      <c r="U74" s="1">
        <v>287</v>
      </c>
      <c r="V74" s="175">
        <v>8829.2669584245068</v>
      </c>
      <c r="W74" s="175">
        <v>205.92678608241488</v>
      </c>
      <c r="X74" s="175">
        <v>0</v>
      </c>
      <c r="Y74" s="175">
        <v>3487.6509315594435</v>
      </c>
      <c r="Z74" s="175">
        <v>5135.6892407826481</v>
      </c>
      <c r="AA74" s="175">
        <v>0.41840412750017669</v>
      </c>
      <c r="AB74" s="175">
        <v>3694.2017382057447</v>
      </c>
      <c r="AC74" s="175">
        <v>0.46689303904923601</v>
      </c>
      <c r="AD74" s="175">
        <v>4122.3232827958227</v>
      </c>
      <c r="AE74" s="175">
        <v>4084.7921225382929</v>
      </c>
      <c r="AF74" s="175">
        <v>0.46264227163737076</v>
      </c>
      <c r="AG74" s="175">
        <v>93.725999999999999</v>
      </c>
      <c r="AH74" s="176">
        <v>17.8</v>
      </c>
    </row>
    <row r="75" spans="1:34" ht="15.75" thickBot="1" x14ac:dyDescent="0.3">
      <c r="E75" s="63">
        <f>AVERAGE(E3:E74)</f>
        <v>0.45797763978559441</v>
      </c>
      <c r="F75" s="63">
        <f>AVERAGE(F3:F74)</f>
        <v>0.44282001394502352</v>
      </c>
      <c r="N75" s="59">
        <f>AVERAGE(L39:L74)</f>
        <v>0.46473086743990799</v>
      </c>
      <c r="O75" s="59">
        <f>AVERAGE(M39:M74)</f>
        <v>0.43242257473637652</v>
      </c>
      <c r="R75" s="173" t="s">
        <v>8</v>
      </c>
      <c r="S75" s="174" t="s">
        <v>14</v>
      </c>
      <c r="T75" s="174">
        <v>3</v>
      </c>
      <c r="U75" s="174">
        <v>290</v>
      </c>
      <c r="V75" s="177">
        <v>7896.6083150984678</v>
      </c>
      <c r="W75" s="177" t="s">
        <v>41</v>
      </c>
      <c r="X75" s="177" t="s">
        <v>41</v>
      </c>
      <c r="Y75" s="177" t="s">
        <v>41</v>
      </c>
      <c r="Z75" s="177" t="s">
        <v>41</v>
      </c>
      <c r="AA75" s="177" t="s">
        <v>41</v>
      </c>
      <c r="AB75" s="177" t="s">
        <v>41</v>
      </c>
      <c r="AC75" s="177">
        <v>0.42362313820574993</v>
      </c>
      <c r="AD75" s="177">
        <v>3345.1859956236322</v>
      </c>
      <c r="AE75" s="177">
        <v>3345.1859956236322</v>
      </c>
      <c r="AF75" s="177">
        <v>0.42362313820574993</v>
      </c>
      <c r="AG75" s="177" t="s">
        <v>41</v>
      </c>
      <c r="AH75" s="178" t="s">
        <v>41</v>
      </c>
    </row>
  </sheetData>
  <sortState xmlns:xlrd2="http://schemas.microsoft.com/office/spreadsheetml/2017/richdata2" ref="H3:M75">
    <sortCondition ref="I3:I7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2143-2A8E-4AA4-99F3-59AEBFF7798D}">
  <dimension ref="A1:AC54"/>
  <sheetViews>
    <sheetView zoomScale="76" zoomScaleNormal="76" workbookViewId="0">
      <selection activeCell="K39" sqref="K39"/>
    </sheetView>
  </sheetViews>
  <sheetFormatPr defaultRowHeight="15" x14ac:dyDescent="0.25"/>
  <cols>
    <col min="2" max="2" width="19.5703125" customWidth="1"/>
    <col min="6" max="6" width="16.42578125" customWidth="1"/>
    <col min="16" max="16" width="10.42578125" customWidth="1"/>
  </cols>
  <sheetData>
    <row r="1" spans="1:29" ht="42.75" x14ac:dyDescent="0.25">
      <c r="A1" s="67" t="s">
        <v>15</v>
      </c>
      <c r="B1" s="67" t="s">
        <v>16</v>
      </c>
      <c r="C1" s="67" t="s">
        <v>17</v>
      </c>
      <c r="D1" s="67" t="s">
        <v>18</v>
      </c>
      <c r="E1" s="67" t="s">
        <v>19</v>
      </c>
      <c r="F1" s="67" t="s">
        <v>66</v>
      </c>
      <c r="G1" s="67" t="s">
        <v>20</v>
      </c>
      <c r="H1" s="67" t="s">
        <v>21</v>
      </c>
      <c r="I1" s="67" t="s">
        <v>22</v>
      </c>
      <c r="J1" s="67" t="s">
        <v>23</v>
      </c>
      <c r="K1" s="67" t="s">
        <v>24</v>
      </c>
      <c r="L1" s="67" t="s">
        <v>25</v>
      </c>
      <c r="M1" s="67" t="s">
        <v>67</v>
      </c>
      <c r="N1" s="67" t="s">
        <v>26</v>
      </c>
      <c r="O1" s="67" t="s">
        <v>27</v>
      </c>
      <c r="P1" s="67" t="s">
        <v>28</v>
      </c>
      <c r="Q1" s="67" t="s">
        <v>29</v>
      </c>
      <c r="R1" s="67" t="s">
        <v>30</v>
      </c>
      <c r="S1" s="67" t="s">
        <v>31</v>
      </c>
      <c r="T1" s="67" t="s">
        <v>32</v>
      </c>
      <c r="U1" s="68" t="s">
        <v>33</v>
      </c>
      <c r="V1" s="67" t="s">
        <v>34</v>
      </c>
      <c r="W1" s="68" t="s">
        <v>35</v>
      </c>
      <c r="X1" s="67" t="s">
        <v>36</v>
      </c>
      <c r="Y1" s="67" t="s">
        <v>37</v>
      </c>
      <c r="Z1" s="67" t="s">
        <v>68</v>
      </c>
      <c r="AA1" s="67" t="s">
        <v>38</v>
      </c>
      <c r="AB1" s="67" t="s">
        <v>39</v>
      </c>
      <c r="AC1" s="68" t="s">
        <v>40</v>
      </c>
    </row>
    <row r="3" spans="1:29" ht="15.75" thickBot="1" x14ac:dyDescent="0.3"/>
    <row r="4" spans="1:29" x14ac:dyDescent="0.25">
      <c r="A4" s="133">
        <v>4</v>
      </c>
      <c r="B4" s="134" t="s">
        <v>0</v>
      </c>
      <c r="C4" s="134" t="s">
        <v>1</v>
      </c>
      <c r="D4" s="134">
        <v>1</v>
      </c>
      <c r="E4" s="134">
        <v>1</v>
      </c>
      <c r="F4" s="198">
        <v>45581</v>
      </c>
      <c r="G4" s="134">
        <v>289</v>
      </c>
      <c r="H4" s="134" t="s">
        <v>65</v>
      </c>
      <c r="I4" s="134">
        <v>371000</v>
      </c>
      <c r="J4" s="143"/>
      <c r="K4" s="134">
        <v>2.1823000000000001</v>
      </c>
      <c r="L4" s="134">
        <v>2.1823000000000001</v>
      </c>
      <c r="M4" s="134">
        <v>2</v>
      </c>
      <c r="N4" s="134">
        <v>0.96499999999999997</v>
      </c>
      <c r="O4" s="134">
        <v>1.93</v>
      </c>
      <c r="P4" s="180">
        <v>11307.253886010363</v>
      </c>
      <c r="Q4" s="180"/>
      <c r="R4" s="180"/>
      <c r="S4" s="180"/>
      <c r="T4" s="180"/>
      <c r="U4" s="180"/>
      <c r="V4" s="180"/>
      <c r="W4" s="180">
        <v>0.46226458323786823</v>
      </c>
      <c r="X4" s="180">
        <v>5226.943005181347</v>
      </c>
      <c r="Y4" s="180">
        <v>5226.943005181347</v>
      </c>
      <c r="Z4" s="180">
        <v>0.46226458323786829</v>
      </c>
      <c r="AA4" s="180"/>
      <c r="AB4" s="180"/>
      <c r="AC4" s="181">
        <v>89.518908939312738</v>
      </c>
    </row>
    <row r="5" spans="1:29" x14ac:dyDescent="0.25">
      <c r="A5" s="136">
        <v>4</v>
      </c>
      <c r="B5" s="65" t="s">
        <v>3</v>
      </c>
      <c r="C5" s="65" t="s">
        <v>1</v>
      </c>
      <c r="D5" s="65">
        <v>1</v>
      </c>
      <c r="E5" s="65">
        <v>2</v>
      </c>
      <c r="F5" s="199">
        <v>45581</v>
      </c>
      <c r="G5" s="65">
        <v>289</v>
      </c>
      <c r="H5" s="65" t="s">
        <v>65</v>
      </c>
      <c r="I5" s="65">
        <v>371000</v>
      </c>
      <c r="K5" s="65">
        <v>1.7202999999999999</v>
      </c>
      <c r="L5" s="65">
        <v>1.7202999999999999</v>
      </c>
      <c r="M5" s="65">
        <v>2</v>
      </c>
      <c r="N5" s="65">
        <v>0.96499999999999997</v>
      </c>
      <c r="O5" s="65">
        <v>1.93</v>
      </c>
      <c r="P5" s="66">
        <v>8913.4715025906735</v>
      </c>
      <c r="Q5" s="66"/>
      <c r="R5" s="66"/>
      <c r="S5" s="66"/>
      <c r="T5" s="66"/>
      <c r="U5" s="66"/>
      <c r="V5" s="66"/>
      <c r="W5" s="66">
        <v>0.51368947276637789</v>
      </c>
      <c r="X5" s="66">
        <v>4578.7564766839369</v>
      </c>
      <c r="Y5" s="66">
        <v>4578.7564766839378</v>
      </c>
      <c r="Z5" s="66">
        <v>0.513689472766378</v>
      </c>
      <c r="AA5" s="66"/>
      <c r="AB5" s="66"/>
      <c r="AC5" s="183">
        <v>78.417783336311118</v>
      </c>
    </row>
    <row r="6" spans="1:29" x14ac:dyDescent="0.25">
      <c r="A6" s="136">
        <v>4</v>
      </c>
      <c r="B6" s="65" t="s">
        <v>4</v>
      </c>
      <c r="C6" s="65" t="s">
        <v>1</v>
      </c>
      <c r="D6" s="65">
        <v>1</v>
      </c>
      <c r="E6" s="65">
        <v>3</v>
      </c>
      <c r="F6" s="199">
        <v>45581</v>
      </c>
      <c r="G6" s="65">
        <v>289</v>
      </c>
      <c r="H6" s="65" t="s">
        <v>65</v>
      </c>
      <c r="I6" s="65">
        <v>371000</v>
      </c>
      <c r="K6" s="65">
        <v>1.3873</v>
      </c>
      <c r="L6" s="65">
        <v>1.3873</v>
      </c>
      <c r="M6" s="65">
        <v>2</v>
      </c>
      <c r="N6" s="65">
        <v>0.96499999999999997</v>
      </c>
      <c r="O6" s="65">
        <v>1.93</v>
      </c>
      <c r="P6" s="66">
        <v>7188.0829015544041</v>
      </c>
      <c r="Q6" s="66"/>
      <c r="R6" s="66"/>
      <c r="S6" s="66"/>
      <c r="T6" s="66"/>
      <c r="U6" s="66"/>
      <c r="V6" s="66"/>
      <c r="W6" s="66">
        <v>0.53463562315288682</v>
      </c>
      <c r="X6" s="66">
        <v>3843.0051813471496</v>
      </c>
      <c r="Y6" s="66">
        <v>3843.00518134715</v>
      </c>
      <c r="Z6" s="66">
        <v>0.53463562315288693</v>
      </c>
      <c r="AA6" s="66"/>
      <c r="AB6" s="66"/>
      <c r="AC6" s="183">
        <v>65.81698528973854</v>
      </c>
    </row>
    <row r="7" spans="1:29" x14ac:dyDescent="0.25">
      <c r="A7" s="136">
        <v>4</v>
      </c>
      <c r="B7" s="65" t="s">
        <v>5</v>
      </c>
      <c r="C7" s="65" t="s">
        <v>1</v>
      </c>
      <c r="D7" s="65">
        <v>1</v>
      </c>
      <c r="E7" s="65">
        <v>4</v>
      </c>
      <c r="F7" s="199">
        <v>45581</v>
      </c>
      <c r="G7" s="65">
        <v>289</v>
      </c>
      <c r="H7" s="65" t="s">
        <v>65</v>
      </c>
      <c r="I7" s="65">
        <v>371000</v>
      </c>
      <c r="K7" s="65">
        <v>1.1533</v>
      </c>
      <c r="L7" s="65">
        <v>1.1533</v>
      </c>
      <c r="M7" s="65">
        <v>2</v>
      </c>
      <c r="N7" s="65">
        <v>0.96499999999999997</v>
      </c>
      <c r="O7" s="65">
        <v>1.93</v>
      </c>
      <c r="P7" s="66">
        <v>5975.6476683937826</v>
      </c>
      <c r="Q7" s="66"/>
      <c r="R7" s="66"/>
      <c r="S7" s="66"/>
      <c r="T7" s="66"/>
      <c r="U7" s="66"/>
      <c r="V7" s="66"/>
      <c r="W7" s="66">
        <v>0.46570710136131094</v>
      </c>
      <c r="X7" s="66">
        <v>2782.9015544041449</v>
      </c>
      <c r="Y7" s="66">
        <v>2782.9015544041449</v>
      </c>
      <c r="Z7" s="66">
        <v>0.46570710136131099</v>
      </c>
      <c r="AA7" s="66"/>
      <c r="AB7" s="66"/>
      <c r="AC7" s="183">
        <v>47.661187540944546</v>
      </c>
    </row>
    <row r="8" spans="1:29" x14ac:dyDescent="0.25">
      <c r="A8" s="136">
        <v>4</v>
      </c>
      <c r="B8" s="65" t="s">
        <v>6</v>
      </c>
      <c r="C8" s="65" t="s">
        <v>1</v>
      </c>
      <c r="D8" s="65">
        <v>1</v>
      </c>
      <c r="E8" s="65">
        <v>5</v>
      </c>
      <c r="F8" s="199">
        <v>45581</v>
      </c>
      <c r="G8" s="65">
        <v>289</v>
      </c>
      <c r="H8" s="65" t="s">
        <v>65</v>
      </c>
      <c r="I8" s="65">
        <v>371000</v>
      </c>
      <c r="K8" s="65">
        <v>1.7972999999999999</v>
      </c>
      <c r="L8" s="65">
        <v>1.7972999999999999</v>
      </c>
      <c r="M8" s="65">
        <v>2</v>
      </c>
      <c r="N8" s="65">
        <v>0.96499999999999997</v>
      </c>
      <c r="O8" s="65">
        <v>1.93</v>
      </c>
      <c r="P8" s="66">
        <v>9312.4352331606224</v>
      </c>
      <c r="Q8" s="66"/>
      <c r="R8" s="66"/>
      <c r="S8" s="66"/>
      <c r="T8" s="66"/>
      <c r="U8" s="66"/>
      <c r="V8" s="66"/>
      <c r="W8" s="66">
        <v>0.47871807711567349</v>
      </c>
      <c r="X8" s="66">
        <v>4458.031088082902</v>
      </c>
      <c r="Y8" s="66">
        <v>4458.031088082902</v>
      </c>
      <c r="Z8" s="66">
        <v>0.47871807711567355</v>
      </c>
      <c r="AA8" s="66"/>
      <c r="AB8" s="66"/>
      <c r="AC8" s="183">
        <v>76.350187600500263</v>
      </c>
    </row>
    <row r="9" spans="1:29" x14ac:dyDescent="0.25">
      <c r="A9" s="136">
        <v>4</v>
      </c>
      <c r="B9" s="65" t="s">
        <v>7</v>
      </c>
      <c r="C9" s="65" t="s">
        <v>1</v>
      </c>
      <c r="D9" s="65">
        <v>1</v>
      </c>
      <c r="E9" s="65">
        <v>6</v>
      </c>
      <c r="F9" s="199">
        <v>45581</v>
      </c>
      <c r="G9" s="65">
        <v>289</v>
      </c>
      <c r="H9" s="65" t="s">
        <v>65</v>
      </c>
      <c r="I9" s="65">
        <v>371000</v>
      </c>
      <c r="K9" s="65">
        <v>1.2883</v>
      </c>
      <c r="L9" s="65">
        <v>1.2883</v>
      </c>
      <c r="M9" s="65">
        <v>2</v>
      </c>
      <c r="N9" s="65">
        <v>0.96499999999999997</v>
      </c>
      <c r="O9" s="65">
        <v>1.93</v>
      </c>
      <c r="P9" s="66">
        <v>6675.1295336787571</v>
      </c>
      <c r="Q9" s="66"/>
      <c r="R9" s="66"/>
      <c r="S9" s="66"/>
      <c r="T9" s="66"/>
      <c r="U9" s="66"/>
      <c r="V9" s="66"/>
      <c r="W9" s="66">
        <v>0.49561437553364895</v>
      </c>
      <c r="X9" s="66">
        <v>3308.2901554404143</v>
      </c>
      <c r="Y9" s="66">
        <v>3308.2901554404148</v>
      </c>
      <c r="Z9" s="66">
        <v>0.49561437553364901</v>
      </c>
      <c r="AA9" s="66"/>
      <c r="AB9" s="66"/>
      <c r="AC9" s="183">
        <v>56.659222202370323</v>
      </c>
    </row>
    <row r="10" spans="1:29" x14ac:dyDescent="0.25">
      <c r="A10" s="136">
        <v>4</v>
      </c>
      <c r="B10" s="65" t="s">
        <v>8</v>
      </c>
      <c r="C10" s="65" t="s">
        <v>1</v>
      </c>
      <c r="D10" s="65">
        <v>1</v>
      </c>
      <c r="E10" s="65">
        <v>7</v>
      </c>
      <c r="F10" s="199">
        <v>45581</v>
      </c>
      <c r="G10" s="65">
        <v>289</v>
      </c>
      <c r="H10" s="65" t="s">
        <v>65</v>
      </c>
      <c r="I10" s="65">
        <v>371000</v>
      </c>
      <c r="K10" s="65">
        <v>1.3953</v>
      </c>
      <c r="L10" s="65">
        <v>1.3953</v>
      </c>
      <c r="M10" s="65">
        <v>2</v>
      </c>
      <c r="N10" s="65">
        <v>0.96499999999999997</v>
      </c>
      <c r="O10" s="65">
        <v>1.93</v>
      </c>
      <c r="P10" s="66">
        <v>7229.5336787564765</v>
      </c>
      <c r="Q10" s="66"/>
      <c r="R10" s="66"/>
      <c r="S10" s="66"/>
      <c r="T10" s="66"/>
      <c r="U10" s="66"/>
      <c r="V10" s="66"/>
      <c r="W10" s="66">
        <v>0.46162115674048587</v>
      </c>
      <c r="X10" s="66">
        <v>3337.3056994818648</v>
      </c>
      <c r="Y10" s="66">
        <v>3337.3056994818648</v>
      </c>
      <c r="Z10" s="66">
        <v>0.46162115674048587</v>
      </c>
      <c r="AA10" s="66"/>
      <c r="AB10" s="66"/>
      <c r="AC10" s="183">
        <v>57.156155083080215</v>
      </c>
    </row>
    <row r="11" spans="1:29" x14ac:dyDescent="0.25">
      <c r="A11" s="136">
        <v>4</v>
      </c>
      <c r="B11" s="65" t="s">
        <v>9</v>
      </c>
      <c r="C11" s="65" t="s">
        <v>1</v>
      </c>
      <c r="D11" s="65">
        <v>1</v>
      </c>
      <c r="E11" s="65">
        <v>8</v>
      </c>
      <c r="F11" s="199">
        <v>45581</v>
      </c>
      <c r="G11" s="65">
        <v>289</v>
      </c>
      <c r="H11" s="65" t="s">
        <v>65</v>
      </c>
      <c r="I11" s="65">
        <v>371000</v>
      </c>
      <c r="K11" s="65">
        <v>1.0532999999999999</v>
      </c>
      <c r="L11" s="65">
        <v>1.0532999999999999</v>
      </c>
      <c r="M11" s="65">
        <v>2</v>
      </c>
      <c r="N11" s="65">
        <v>0.96499999999999997</v>
      </c>
      <c r="O11" s="65">
        <v>1.93</v>
      </c>
      <c r="P11" s="66">
        <v>5457.5129533678746</v>
      </c>
      <c r="Q11" s="66"/>
      <c r="R11" s="66"/>
      <c r="S11" s="66"/>
      <c r="T11" s="66"/>
      <c r="U11" s="66"/>
      <c r="V11" s="66"/>
      <c r="W11" s="66">
        <v>0.43406436912560525</v>
      </c>
      <c r="X11" s="66">
        <v>2368.9119170984454</v>
      </c>
      <c r="Y11" s="66">
        <v>2368.9119170984459</v>
      </c>
      <c r="Z11" s="66">
        <v>0.43406436912560536</v>
      </c>
      <c r="AA11" s="66"/>
      <c r="AB11" s="66"/>
      <c r="AC11" s="183">
        <v>40.571020189387177</v>
      </c>
    </row>
    <row r="12" spans="1:29" x14ac:dyDescent="0.25">
      <c r="A12" s="136">
        <v>4</v>
      </c>
      <c r="B12" s="65" t="s">
        <v>3</v>
      </c>
      <c r="C12" s="65" t="s">
        <v>1</v>
      </c>
      <c r="D12" s="65">
        <v>2</v>
      </c>
      <c r="E12" s="65">
        <v>9</v>
      </c>
      <c r="F12" s="199">
        <v>45581</v>
      </c>
      <c r="G12" s="65">
        <v>289</v>
      </c>
      <c r="H12" s="65" t="s">
        <v>65</v>
      </c>
      <c r="I12" s="65">
        <v>371000</v>
      </c>
      <c r="K12" s="65">
        <v>1.5112999999999999</v>
      </c>
      <c r="L12" s="65">
        <v>1.5112999999999999</v>
      </c>
      <c r="M12" s="65">
        <v>2</v>
      </c>
      <c r="N12" s="65">
        <v>0.96499999999999997</v>
      </c>
      <c r="O12" s="65">
        <v>1.93</v>
      </c>
      <c r="P12" s="66">
        <v>7830.5699481865277</v>
      </c>
      <c r="Q12" s="66"/>
      <c r="R12" s="66"/>
      <c r="S12" s="66"/>
      <c r="T12" s="66"/>
      <c r="U12" s="66"/>
      <c r="V12" s="66"/>
      <c r="W12" s="66">
        <v>0.46403758353735192</v>
      </c>
      <c r="X12" s="66">
        <v>3633.6787564766832</v>
      </c>
      <c r="Y12" s="66">
        <v>3633.6787564766837</v>
      </c>
      <c r="Z12" s="66">
        <v>0.46403758353735197</v>
      </c>
      <c r="AA12" s="66"/>
      <c r="AB12" s="66"/>
      <c r="AC12" s="183">
        <v>62.23196950747424</v>
      </c>
    </row>
    <row r="13" spans="1:29" x14ac:dyDescent="0.25">
      <c r="A13" s="136">
        <v>4</v>
      </c>
      <c r="B13" s="65" t="s">
        <v>9</v>
      </c>
      <c r="C13" s="65" t="s">
        <v>1</v>
      </c>
      <c r="D13" s="65">
        <v>2</v>
      </c>
      <c r="E13" s="65">
        <v>10</v>
      </c>
      <c r="F13" s="199">
        <v>45581</v>
      </c>
      <c r="G13" s="65">
        <v>289</v>
      </c>
      <c r="H13" s="65" t="s">
        <v>65</v>
      </c>
      <c r="I13" s="65">
        <v>371000</v>
      </c>
      <c r="K13" s="65">
        <v>1.3015999999999999</v>
      </c>
      <c r="L13" s="65">
        <v>1.3015999999999999</v>
      </c>
      <c r="M13" s="65">
        <v>2</v>
      </c>
      <c r="N13" s="65">
        <v>0.96499999999999997</v>
      </c>
      <c r="O13" s="65">
        <v>1.93</v>
      </c>
      <c r="P13" s="66">
        <v>6744.0414507772011</v>
      </c>
      <c r="Q13" s="66"/>
      <c r="R13" s="66"/>
      <c r="S13" s="66"/>
      <c r="T13" s="66"/>
      <c r="U13" s="66"/>
      <c r="V13" s="66"/>
      <c r="W13" s="66">
        <v>0.50099877074370003</v>
      </c>
      <c r="X13" s="66">
        <v>3378.7564766839373</v>
      </c>
      <c r="Y13" s="66">
        <v>3378.7564766839373</v>
      </c>
      <c r="Z13" s="66">
        <v>0.50099877074370003</v>
      </c>
      <c r="AA13" s="66"/>
      <c r="AB13" s="66"/>
      <c r="AC13" s="183">
        <v>57.866059198380078</v>
      </c>
    </row>
    <row r="14" spans="1:29" x14ac:dyDescent="0.25">
      <c r="A14" s="136">
        <v>4</v>
      </c>
      <c r="B14" s="65" t="s">
        <v>8</v>
      </c>
      <c r="C14" s="65" t="s">
        <v>1</v>
      </c>
      <c r="D14" s="65">
        <v>2</v>
      </c>
      <c r="E14" s="65">
        <v>11</v>
      </c>
      <c r="F14" s="199">
        <v>45581</v>
      </c>
      <c r="G14" s="65">
        <v>289</v>
      </c>
      <c r="H14" s="65" t="s">
        <v>65</v>
      </c>
      <c r="I14" s="65">
        <v>371000</v>
      </c>
      <c r="K14" s="65">
        <v>1.3722999999999999</v>
      </c>
      <c r="L14" s="65">
        <v>1.3722999999999999</v>
      </c>
      <c r="M14" s="65">
        <v>2</v>
      </c>
      <c r="N14" s="65">
        <v>0.96499999999999997</v>
      </c>
      <c r="O14" s="65">
        <v>1.93</v>
      </c>
      <c r="P14" s="66">
        <v>7110.3626943005174</v>
      </c>
      <c r="Q14" s="66"/>
      <c r="R14" s="66"/>
      <c r="S14" s="66"/>
      <c r="T14" s="66"/>
      <c r="U14" s="66"/>
      <c r="V14" s="66"/>
      <c r="W14" s="66">
        <v>0.47132551191430444</v>
      </c>
      <c r="X14" s="66">
        <v>3351.2953367875643</v>
      </c>
      <c r="Y14" s="66">
        <v>3351.2953367875643</v>
      </c>
      <c r="Z14" s="66">
        <v>0.47132551191430444</v>
      </c>
      <c r="AA14" s="66"/>
      <c r="AB14" s="66"/>
      <c r="AC14" s="183">
        <v>57.395747721993914</v>
      </c>
    </row>
    <row r="15" spans="1:29" x14ac:dyDescent="0.25">
      <c r="A15" s="136">
        <v>4</v>
      </c>
      <c r="B15" s="65" t="s">
        <v>4</v>
      </c>
      <c r="C15" s="65" t="s">
        <v>1</v>
      </c>
      <c r="D15" s="65">
        <v>2</v>
      </c>
      <c r="E15" s="65">
        <v>12</v>
      </c>
      <c r="F15" s="199">
        <v>45581</v>
      </c>
      <c r="G15" s="65">
        <v>289</v>
      </c>
      <c r="H15" s="65" t="s">
        <v>65</v>
      </c>
      <c r="I15" s="65">
        <v>371000</v>
      </c>
      <c r="K15" s="65">
        <v>0.98629999999999995</v>
      </c>
      <c r="L15" s="65">
        <v>0.98629999999999995</v>
      </c>
      <c r="M15" s="65">
        <v>2</v>
      </c>
      <c r="N15" s="65">
        <v>0.96499999999999997</v>
      </c>
      <c r="O15" s="65">
        <v>1.93</v>
      </c>
      <c r="P15" s="66">
        <v>5110.3626943005183</v>
      </c>
      <c r="Q15" s="66"/>
      <c r="R15" s="66"/>
      <c r="S15" s="66"/>
      <c r="T15" s="66"/>
      <c r="U15" s="66"/>
      <c r="V15" s="66"/>
      <c r="W15" s="66">
        <v>0.56007300010138905</v>
      </c>
      <c r="X15" s="66">
        <v>2862.1761658031091</v>
      </c>
      <c r="Y15" s="66">
        <v>2862.1761658031087</v>
      </c>
      <c r="Z15" s="66">
        <v>0.56007300010138894</v>
      </c>
      <c r="AA15" s="66"/>
      <c r="AB15" s="66"/>
      <c r="AC15" s="183">
        <v>49.018879161455537</v>
      </c>
    </row>
    <row r="16" spans="1:29" x14ac:dyDescent="0.25">
      <c r="A16" s="136">
        <v>4</v>
      </c>
      <c r="B16" s="65" t="s">
        <v>7</v>
      </c>
      <c r="C16" s="65" t="s">
        <v>1</v>
      </c>
      <c r="D16" s="65">
        <v>2</v>
      </c>
      <c r="E16" s="65">
        <v>13</v>
      </c>
      <c r="F16" s="199">
        <v>45581</v>
      </c>
      <c r="G16" s="65">
        <v>289</v>
      </c>
      <c r="H16" s="65" t="s">
        <v>65</v>
      </c>
      <c r="I16" s="65">
        <v>371000</v>
      </c>
      <c r="K16" s="65">
        <v>1.2333000000000001</v>
      </c>
      <c r="L16" s="65">
        <v>1.2333000000000001</v>
      </c>
      <c r="M16" s="65">
        <v>2</v>
      </c>
      <c r="N16" s="65">
        <v>0.96499999999999997</v>
      </c>
      <c r="O16" s="65">
        <v>1.93</v>
      </c>
      <c r="P16" s="66">
        <v>6390.1554404145081</v>
      </c>
      <c r="Q16" s="66"/>
      <c r="R16" s="66"/>
      <c r="S16" s="66"/>
      <c r="T16" s="66"/>
      <c r="U16" s="66"/>
      <c r="V16" s="66"/>
      <c r="W16" s="66">
        <v>0.53952809535392843</v>
      </c>
      <c r="X16" s="66">
        <v>3447.6683937823832</v>
      </c>
      <c r="Y16" s="66">
        <v>3447.6683937823836</v>
      </c>
      <c r="Z16" s="66">
        <v>0.53952809535392854</v>
      </c>
      <c r="AA16" s="66"/>
      <c r="AB16" s="66"/>
      <c r="AC16" s="183">
        <v>59.046274790066107</v>
      </c>
    </row>
    <row r="17" spans="1:29" x14ac:dyDescent="0.25">
      <c r="A17" s="136">
        <v>4</v>
      </c>
      <c r="B17" s="65" t="s">
        <v>0</v>
      </c>
      <c r="C17" s="65" t="s">
        <v>1</v>
      </c>
      <c r="D17" s="65">
        <v>2</v>
      </c>
      <c r="E17" s="65">
        <v>14</v>
      </c>
      <c r="F17" s="199">
        <v>45581</v>
      </c>
      <c r="G17" s="65">
        <v>289</v>
      </c>
      <c r="H17" s="65" t="s">
        <v>65</v>
      </c>
      <c r="I17" s="65">
        <v>371000</v>
      </c>
      <c r="K17" s="65">
        <v>1.6673</v>
      </c>
      <c r="L17" s="65">
        <v>1.6673</v>
      </c>
      <c r="M17" s="65">
        <v>2</v>
      </c>
      <c r="N17" s="65">
        <v>0.96499999999999997</v>
      </c>
      <c r="O17" s="65">
        <v>1.93</v>
      </c>
      <c r="P17" s="66">
        <v>8638.8601036269429</v>
      </c>
      <c r="Q17" s="66"/>
      <c r="R17" s="66"/>
      <c r="S17" s="66"/>
      <c r="T17" s="66"/>
      <c r="U17" s="66"/>
      <c r="V17" s="66"/>
      <c r="W17" s="66">
        <v>0.50986625082468651</v>
      </c>
      <c r="X17" s="66">
        <v>4404.6632124352318</v>
      </c>
      <c r="Y17" s="66">
        <v>4404.6632124352327</v>
      </c>
      <c r="Z17" s="66">
        <v>0.50986625082468662</v>
      </c>
      <c r="AA17" s="66"/>
      <c r="AB17" s="66"/>
      <c r="AC17" s="183">
        <v>75.436186052051696</v>
      </c>
    </row>
    <row r="18" spans="1:29" x14ac:dyDescent="0.25">
      <c r="A18" s="136">
        <v>4</v>
      </c>
      <c r="B18" s="65" t="s">
        <v>6</v>
      </c>
      <c r="C18" s="65" t="s">
        <v>1</v>
      </c>
      <c r="D18" s="65">
        <v>2</v>
      </c>
      <c r="E18" s="65">
        <v>15</v>
      </c>
      <c r="F18" s="199">
        <v>45581</v>
      </c>
      <c r="G18" s="65">
        <v>289</v>
      </c>
      <c r="H18" s="65" t="s">
        <v>65</v>
      </c>
      <c r="I18" s="65">
        <v>371000</v>
      </c>
      <c r="K18" s="65">
        <v>1.1913</v>
      </c>
      <c r="L18" s="65">
        <v>1.1913</v>
      </c>
      <c r="M18" s="65">
        <v>2</v>
      </c>
      <c r="N18" s="65">
        <v>0.96499999999999997</v>
      </c>
      <c r="O18" s="65">
        <v>1.93</v>
      </c>
      <c r="P18" s="66">
        <v>6172.5388601036275</v>
      </c>
      <c r="Q18" s="66"/>
      <c r="R18" s="66"/>
      <c r="S18" s="66"/>
      <c r="T18" s="66"/>
      <c r="U18" s="66"/>
      <c r="V18" s="66"/>
      <c r="W18" s="66">
        <v>0.45689582808696383</v>
      </c>
      <c r="X18" s="66">
        <v>2820.2072538860107</v>
      </c>
      <c r="Y18" s="66">
        <v>2820.2072538860107</v>
      </c>
      <c r="Z18" s="66">
        <v>0.45689582808696383</v>
      </c>
      <c r="AA18" s="66"/>
      <c r="AB18" s="66"/>
      <c r="AC18" s="183">
        <v>48.300101244714433</v>
      </c>
    </row>
    <row r="19" spans="1:29" x14ac:dyDescent="0.25">
      <c r="A19" s="136">
        <v>4</v>
      </c>
      <c r="B19" s="65" t="s">
        <v>5</v>
      </c>
      <c r="C19" s="65" t="s">
        <v>1</v>
      </c>
      <c r="D19" s="65">
        <v>2</v>
      </c>
      <c r="E19" s="65">
        <v>16</v>
      </c>
      <c r="F19" s="199">
        <v>45581</v>
      </c>
      <c r="G19" s="65">
        <v>289</v>
      </c>
      <c r="H19" s="65" t="s">
        <v>65</v>
      </c>
      <c r="I19" s="65">
        <v>371000</v>
      </c>
      <c r="K19" s="65">
        <v>1.3103</v>
      </c>
      <c r="L19" s="65">
        <v>1.3103</v>
      </c>
      <c r="M19" s="65">
        <v>2</v>
      </c>
      <c r="N19" s="65">
        <v>0.96499999999999997</v>
      </c>
      <c r="O19" s="65">
        <v>1.93</v>
      </c>
      <c r="P19" s="66">
        <v>6789.1191709844561</v>
      </c>
      <c r="Q19" s="66"/>
      <c r="R19" s="66"/>
      <c r="S19" s="66"/>
      <c r="T19" s="66"/>
      <c r="U19" s="66"/>
      <c r="V19" s="66"/>
      <c r="W19" s="66">
        <v>0.47416622147599785</v>
      </c>
      <c r="X19" s="66">
        <v>3219.1709844559587</v>
      </c>
      <c r="Y19" s="66">
        <v>3219.1709844559587</v>
      </c>
      <c r="Z19" s="66">
        <v>0.47416622147599785</v>
      </c>
      <c r="AA19" s="66"/>
      <c r="AB19" s="66"/>
      <c r="AC19" s="183">
        <v>55.132928354475617</v>
      </c>
    </row>
    <row r="20" spans="1:29" x14ac:dyDescent="0.25">
      <c r="A20" s="136">
        <v>4</v>
      </c>
      <c r="B20" s="65" t="s">
        <v>9</v>
      </c>
      <c r="C20" s="65" t="s">
        <v>1</v>
      </c>
      <c r="D20" s="65">
        <v>3</v>
      </c>
      <c r="E20" s="65">
        <v>17</v>
      </c>
      <c r="F20" s="199">
        <v>45581</v>
      </c>
      <c r="G20" s="65">
        <v>289</v>
      </c>
      <c r="H20" s="65" t="s">
        <v>65</v>
      </c>
      <c r="I20" s="65">
        <v>371000</v>
      </c>
      <c r="K20" s="65">
        <v>1.3032999999999999</v>
      </c>
      <c r="L20" s="65">
        <v>1.3032999999999999</v>
      </c>
      <c r="M20" s="65">
        <v>2</v>
      </c>
      <c r="N20" s="65">
        <v>0.96499999999999997</v>
      </c>
      <c r="O20" s="65">
        <v>1.93</v>
      </c>
      <c r="P20" s="66">
        <v>6752.8497409326419</v>
      </c>
      <c r="Q20" s="66"/>
      <c r="R20" s="66"/>
      <c r="S20" s="66"/>
      <c r="T20" s="66"/>
      <c r="U20" s="66"/>
      <c r="V20" s="66"/>
      <c r="W20" s="66">
        <v>0.45722396992250441</v>
      </c>
      <c r="X20" s="66">
        <v>3087.5647668393781</v>
      </c>
      <c r="Y20" s="66">
        <v>3087.5647668393785</v>
      </c>
      <c r="Z20" s="66">
        <v>0.45722396992250447</v>
      </c>
      <c r="AA20" s="66"/>
      <c r="AB20" s="66"/>
      <c r="AC20" s="183">
        <v>52.878982788398552</v>
      </c>
    </row>
    <row r="21" spans="1:29" x14ac:dyDescent="0.25">
      <c r="A21" s="136">
        <v>4</v>
      </c>
      <c r="B21" s="65" t="s">
        <v>3</v>
      </c>
      <c r="C21" s="65" t="s">
        <v>1</v>
      </c>
      <c r="D21" s="65">
        <v>3</v>
      </c>
      <c r="E21" s="65">
        <v>18</v>
      </c>
      <c r="F21" s="199">
        <v>45581</v>
      </c>
      <c r="G21" s="65">
        <v>289</v>
      </c>
      <c r="H21" s="65" t="s">
        <v>65</v>
      </c>
      <c r="I21" s="65">
        <v>371000</v>
      </c>
      <c r="K21" s="65">
        <v>1.2752999999999999</v>
      </c>
      <c r="L21" s="65">
        <v>1.2752999999999999</v>
      </c>
      <c r="M21" s="65">
        <v>2</v>
      </c>
      <c r="N21" s="65">
        <v>0.96499999999999997</v>
      </c>
      <c r="O21" s="65">
        <v>1.93</v>
      </c>
      <c r="P21" s="66">
        <v>6607.7720207253878</v>
      </c>
      <c r="Q21" s="66"/>
      <c r="R21" s="66"/>
      <c r="S21" s="66"/>
      <c r="T21" s="66"/>
      <c r="U21" s="66"/>
      <c r="V21" s="66"/>
      <c r="W21" s="66">
        <v>0.48521916411824667</v>
      </c>
      <c r="X21" s="66">
        <v>3206.2176165803103</v>
      </c>
      <c r="Y21" s="66">
        <v>3206.2176165803107</v>
      </c>
      <c r="Z21" s="66">
        <v>0.48521916411824673</v>
      </c>
      <c r="AA21" s="66"/>
      <c r="AB21" s="66"/>
      <c r="AC21" s="183">
        <v>54.911083318444405</v>
      </c>
    </row>
    <row r="22" spans="1:29" x14ac:dyDescent="0.25">
      <c r="A22" s="136">
        <v>4</v>
      </c>
      <c r="B22" s="65" t="s">
        <v>5</v>
      </c>
      <c r="C22" s="65" t="s">
        <v>1</v>
      </c>
      <c r="D22" s="65">
        <v>3</v>
      </c>
      <c r="E22" s="65">
        <v>19</v>
      </c>
      <c r="F22" s="199">
        <v>45581</v>
      </c>
      <c r="G22" s="65">
        <v>289</v>
      </c>
      <c r="H22" s="65" t="s">
        <v>65</v>
      </c>
      <c r="I22" s="65">
        <v>371000</v>
      </c>
      <c r="K22" s="65">
        <v>1.2863</v>
      </c>
      <c r="L22" s="65">
        <v>1.2863</v>
      </c>
      <c r="M22" s="65">
        <v>2</v>
      </c>
      <c r="N22" s="65">
        <v>0.96499999999999997</v>
      </c>
      <c r="O22" s="65">
        <v>1.93</v>
      </c>
      <c r="P22" s="66">
        <v>6664.7668393782387</v>
      </c>
      <c r="Q22" s="66"/>
      <c r="R22" s="66"/>
      <c r="S22" s="66"/>
      <c r="T22" s="66"/>
      <c r="U22" s="66"/>
      <c r="V22" s="66"/>
      <c r="W22" s="66">
        <v>0.39073311047189607</v>
      </c>
      <c r="X22" s="66">
        <v>2604.1450777202072</v>
      </c>
      <c r="Y22" s="66">
        <v>2604.1450777202067</v>
      </c>
      <c r="Z22" s="66">
        <v>0.39073311047189602</v>
      </c>
      <c r="AA22" s="66"/>
      <c r="AB22" s="66"/>
      <c r="AC22" s="183">
        <v>44.599726043713886</v>
      </c>
    </row>
    <row r="23" spans="1:29" x14ac:dyDescent="0.25">
      <c r="A23" s="136">
        <v>4</v>
      </c>
      <c r="B23" s="65" t="s">
        <v>7</v>
      </c>
      <c r="C23" s="65" t="s">
        <v>1</v>
      </c>
      <c r="D23" s="65">
        <v>3</v>
      </c>
      <c r="E23" s="65">
        <v>20</v>
      </c>
      <c r="F23" s="199">
        <v>45581</v>
      </c>
      <c r="G23" s="65">
        <v>289</v>
      </c>
      <c r="H23" s="65" t="s">
        <v>65</v>
      </c>
      <c r="I23" s="65">
        <v>371000</v>
      </c>
      <c r="K23" s="65">
        <v>1.1913</v>
      </c>
      <c r="L23" s="65">
        <v>1.1913</v>
      </c>
      <c r="M23" s="65">
        <v>2</v>
      </c>
      <c r="N23" s="65">
        <v>0.96499999999999997</v>
      </c>
      <c r="O23" s="65">
        <v>1.93</v>
      </c>
      <c r="P23" s="66">
        <v>6172.5388601036275</v>
      </c>
      <c r="Q23" s="66"/>
      <c r="R23" s="66"/>
      <c r="S23" s="66"/>
      <c r="T23" s="66"/>
      <c r="U23" s="66"/>
      <c r="V23" s="66"/>
      <c r="W23" s="66">
        <v>0.44531184420381092</v>
      </c>
      <c r="X23" s="66">
        <v>2748.7046632124352</v>
      </c>
      <c r="Y23" s="66">
        <v>2748.7046632124352</v>
      </c>
      <c r="Z23" s="66">
        <v>0.44531184420381092</v>
      </c>
      <c r="AA23" s="66"/>
      <c r="AB23" s="66"/>
      <c r="AC23" s="183">
        <v>47.075516645822169</v>
      </c>
    </row>
    <row r="24" spans="1:29" x14ac:dyDescent="0.25">
      <c r="A24" s="136">
        <v>4</v>
      </c>
      <c r="B24" s="65" t="s">
        <v>6</v>
      </c>
      <c r="C24" s="65" t="s">
        <v>1</v>
      </c>
      <c r="D24" s="65">
        <v>3</v>
      </c>
      <c r="E24" s="65">
        <v>21</v>
      </c>
      <c r="F24" s="199">
        <v>45581</v>
      </c>
      <c r="G24" s="65">
        <v>289</v>
      </c>
      <c r="H24" s="65" t="s">
        <v>65</v>
      </c>
      <c r="I24" s="65">
        <v>371000</v>
      </c>
      <c r="K24" s="65">
        <v>0.93729999999999991</v>
      </c>
      <c r="L24" s="65">
        <v>0.93729999999999991</v>
      </c>
      <c r="M24" s="65">
        <v>2</v>
      </c>
      <c r="N24" s="65">
        <v>0.96499999999999997</v>
      </c>
      <c r="O24" s="65">
        <v>1.93</v>
      </c>
      <c r="P24" s="66">
        <v>4856.4766839378244</v>
      </c>
      <c r="Q24" s="66"/>
      <c r="R24" s="66"/>
      <c r="S24" s="66"/>
      <c r="T24" s="66"/>
      <c r="U24" s="66"/>
      <c r="V24" s="66"/>
      <c r="W24" s="66">
        <v>0.47839539101675033</v>
      </c>
      <c r="X24" s="66">
        <v>2323.3160621761667</v>
      </c>
      <c r="Y24" s="66">
        <v>2323.3160621761658</v>
      </c>
      <c r="Z24" s="66">
        <v>0.47839539101675016</v>
      </c>
      <c r="AA24" s="66"/>
      <c r="AB24" s="66"/>
      <c r="AC24" s="183">
        <v>39.790125662557323</v>
      </c>
    </row>
    <row r="25" spans="1:29" x14ac:dyDescent="0.25">
      <c r="A25" s="136">
        <v>4</v>
      </c>
      <c r="B25" s="65" t="s">
        <v>8</v>
      </c>
      <c r="C25" s="65" t="s">
        <v>1</v>
      </c>
      <c r="D25" s="65">
        <v>3</v>
      </c>
      <c r="E25" s="65">
        <v>22</v>
      </c>
      <c r="F25" s="199">
        <v>45581</v>
      </c>
      <c r="G25" s="65">
        <v>289</v>
      </c>
      <c r="H25" s="65" t="s">
        <v>65</v>
      </c>
      <c r="I25" s="65">
        <v>371000</v>
      </c>
      <c r="K25" s="65">
        <v>1.3023</v>
      </c>
      <c r="L25" s="65">
        <v>1.3023</v>
      </c>
      <c r="M25" s="65">
        <v>2</v>
      </c>
      <c r="N25" s="65">
        <v>0.96499999999999997</v>
      </c>
      <c r="O25" s="65">
        <v>1.93</v>
      </c>
      <c r="P25" s="66">
        <v>6747.6683937823836</v>
      </c>
      <c r="Q25" s="66"/>
      <c r="R25" s="66"/>
      <c r="S25" s="66"/>
      <c r="T25" s="66"/>
      <c r="U25" s="66"/>
      <c r="V25" s="66"/>
      <c r="W25" s="66">
        <v>0.46241265453428548</v>
      </c>
      <c r="X25" s="66">
        <v>3120.2072538860102</v>
      </c>
      <c r="Y25" s="66">
        <v>3120.2072538860107</v>
      </c>
      <c r="Z25" s="66">
        <v>0.46241265453428554</v>
      </c>
      <c r="AA25" s="66"/>
      <c r="AB25" s="66"/>
      <c r="AC25" s="183">
        <v>53.438032279197202</v>
      </c>
    </row>
    <row r="26" spans="1:29" x14ac:dyDescent="0.25">
      <c r="A26" s="136">
        <v>4</v>
      </c>
      <c r="B26" s="65" t="s">
        <v>0</v>
      </c>
      <c r="C26" s="65" t="s">
        <v>1</v>
      </c>
      <c r="D26" s="65">
        <v>3</v>
      </c>
      <c r="E26" s="65">
        <v>23</v>
      </c>
      <c r="F26" s="199">
        <v>45581</v>
      </c>
      <c r="G26" s="65">
        <v>289</v>
      </c>
      <c r="H26" s="65" t="s">
        <v>65</v>
      </c>
      <c r="I26" s="65">
        <v>371000</v>
      </c>
      <c r="K26" s="65">
        <v>1.5772999999999999</v>
      </c>
      <c r="L26" s="65">
        <v>1.5772999999999999</v>
      </c>
      <c r="M26" s="65">
        <v>2</v>
      </c>
      <c r="N26" s="65">
        <v>0.96499999999999997</v>
      </c>
      <c r="O26" s="65">
        <v>1.93</v>
      </c>
      <c r="P26" s="66">
        <v>8172.5388601036275</v>
      </c>
      <c r="Q26" s="66"/>
      <c r="R26" s="66"/>
      <c r="S26" s="66"/>
      <c r="T26" s="66"/>
      <c r="U26" s="66"/>
      <c r="V26" s="66"/>
      <c r="W26" s="66">
        <v>0.46243580802637418</v>
      </c>
      <c r="X26" s="66">
        <v>3779.2746113989638</v>
      </c>
      <c r="Y26" s="66">
        <v>3779.2746113989633</v>
      </c>
      <c r="Z26" s="66">
        <v>0.46243580802637413</v>
      </c>
      <c r="AA26" s="66"/>
      <c r="AB26" s="66"/>
      <c r="AC26" s="183">
        <v>64.725507712465003</v>
      </c>
    </row>
    <row r="27" spans="1:29" ht="15.75" thickBot="1" x14ac:dyDescent="0.3">
      <c r="A27" s="138">
        <v>4</v>
      </c>
      <c r="B27" s="139" t="s">
        <v>4</v>
      </c>
      <c r="C27" s="139" t="s">
        <v>1</v>
      </c>
      <c r="D27" s="139">
        <v>3</v>
      </c>
      <c r="E27" s="139">
        <v>24</v>
      </c>
      <c r="F27" s="200">
        <v>45581</v>
      </c>
      <c r="G27" s="139">
        <v>289</v>
      </c>
      <c r="H27" s="139" t="s">
        <v>65</v>
      </c>
      <c r="I27" s="139">
        <v>371000</v>
      </c>
      <c r="J27" s="117"/>
      <c r="K27" s="139">
        <v>1.1402999999999999</v>
      </c>
      <c r="L27" s="139">
        <v>1.1402999999999999</v>
      </c>
      <c r="M27" s="139">
        <v>2</v>
      </c>
      <c r="N27" s="139">
        <v>0.96499999999999997</v>
      </c>
      <c r="O27" s="139">
        <v>1.93</v>
      </c>
      <c r="P27" s="185">
        <v>5908.2901554404134</v>
      </c>
      <c r="Q27" s="185"/>
      <c r="R27" s="185"/>
      <c r="S27" s="185"/>
      <c r="T27" s="185"/>
      <c r="U27" s="185"/>
      <c r="V27" s="185"/>
      <c r="W27" s="185">
        <v>0.53284223449969303</v>
      </c>
      <c r="X27" s="185">
        <v>3148.1865284974087</v>
      </c>
      <c r="Y27" s="185">
        <v>3148.1865284974087</v>
      </c>
      <c r="Z27" s="185">
        <v>0.53284223449969303</v>
      </c>
      <c r="AA27" s="185"/>
      <c r="AB27" s="185"/>
      <c r="AC27" s="186">
        <v>53.917217557024593</v>
      </c>
    </row>
    <row r="30" spans="1:29" ht="15.75" thickBot="1" x14ac:dyDescent="0.3"/>
    <row r="31" spans="1:29" x14ac:dyDescent="0.25">
      <c r="A31" s="133">
        <v>4</v>
      </c>
      <c r="B31" s="134" t="s">
        <v>0</v>
      </c>
      <c r="C31" s="134" t="s">
        <v>1</v>
      </c>
      <c r="D31" s="134">
        <v>1</v>
      </c>
      <c r="E31" s="135">
        <v>1</v>
      </c>
      <c r="F31" s="179">
        <v>45574</v>
      </c>
      <c r="G31" s="134">
        <v>282</v>
      </c>
      <c r="H31" s="134" t="s">
        <v>69</v>
      </c>
      <c r="I31" s="134">
        <v>408000</v>
      </c>
      <c r="J31" s="143"/>
      <c r="K31" s="143"/>
      <c r="L31" s="143"/>
      <c r="M31" s="143"/>
      <c r="N31" s="143"/>
      <c r="O31" s="143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44"/>
    </row>
    <row r="32" spans="1:29" x14ac:dyDescent="0.25">
      <c r="A32" s="136">
        <v>4</v>
      </c>
      <c r="B32" s="65" t="s">
        <v>3</v>
      </c>
      <c r="C32" s="65" t="s">
        <v>1</v>
      </c>
      <c r="D32" s="65">
        <v>1</v>
      </c>
      <c r="E32" s="201">
        <v>2</v>
      </c>
      <c r="F32" s="182">
        <v>45574</v>
      </c>
      <c r="G32" s="65">
        <v>282</v>
      </c>
      <c r="H32" s="65" t="s">
        <v>69</v>
      </c>
      <c r="I32" s="65">
        <v>408000</v>
      </c>
      <c r="K32" s="65">
        <v>1.2925</v>
      </c>
      <c r="L32" s="65">
        <v>1.2925</v>
      </c>
      <c r="M32" s="65">
        <v>2</v>
      </c>
      <c r="N32" s="65">
        <v>0.96499999999999997</v>
      </c>
      <c r="O32" s="65">
        <v>1.93</v>
      </c>
      <c r="P32" s="66">
        <v>6696.8911917098449</v>
      </c>
      <c r="Q32" s="66"/>
      <c r="R32" s="66"/>
      <c r="S32" s="66"/>
      <c r="T32" s="66"/>
      <c r="U32" s="66"/>
      <c r="V32" s="66"/>
      <c r="W32" s="66">
        <v>0.45617021276595737</v>
      </c>
      <c r="X32" s="66">
        <v>3054.9222797927459</v>
      </c>
      <c r="Y32" s="66">
        <v>3054.9222797927459</v>
      </c>
      <c r="Z32" s="66">
        <v>0.45617021276595743</v>
      </c>
      <c r="AA32" s="66"/>
      <c r="AB32" s="66"/>
      <c r="AC32" s="183">
        <v>52.319933297599896</v>
      </c>
    </row>
    <row r="33" spans="1:29" x14ac:dyDescent="0.25">
      <c r="A33" s="136">
        <v>4</v>
      </c>
      <c r="B33" s="65" t="s">
        <v>4</v>
      </c>
      <c r="C33" s="65" t="s">
        <v>1</v>
      </c>
      <c r="D33" s="65">
        <v>1</v>
      </c>
      <c r="E33" s="201">
        <v>3</v>
      </c>
      <c r="F33" s="182">
        <v>45574</v>
      </c>
      <c r="G33" s="65">
        <v>282</v>
      </c>
      <c r="H33" s="65" t="s">
        <v>69</v>
      </c>
      <c r="I33" s="65">
        <v>408000</v>
      </c>
      <c r="K33" s="65">
        <v>1.3634999999999999</v>
      </c>
      <c r="L33" s="65">
        <v>1.3634999999999999</v>
      </c>
      <c r="M33" s="65">
        <v>2</v>
      </c>
      <c r="N33" s="65">
        <v>0.96499999999999997</v>
      </c>
      <c r="O33" s="65">
        <v>1.93</v>
      </c>
      <c r="P33" s="66">
        <v>7064.7668393782387</v>
      </c>
      <c r="Q33" s="66"/>
      <c r="R33" s="66"/>
      <c r="S33" s="66"/>
      <c r="T33" s="66"/>
      <c r="U33" s="66"/>
      <c r="V33" s="66"/>
      <c r="W33" s="66">
        <v>0.45500550055005501</v>
      </c>
      <c r="X33" s="66">
        <v>3214.5077720207255</v>
      </c>
      <c r="Y33" s="66">
        <v>3214.507772020725</v>
      </c>
      <c r="Z33" s="66">
        <v>0.45500550055005495</v>
      </c>
      <c r="AA33" s="66"/>
      <c r="AB33" s="66"/>
      <c r="AC33" s="183">
        <v>55.053064141504372</v>
      </c>
    </row>
    <row r="34" spans="1:29" x14ac:dyDescent="0.25">
      <c r="A34" s="136">
        <v>4</v>
      </c>
      <c r="B34" s="65" t="s">
        <v>5</v>
      </c>
      <c r="C34" s="65" t="s">
        <v>1</v>
      </c>
      <c r="D34" s="65">
        <v>1</v>
      </c>
      <c r="E34" s="201">
        <v>4</v>
      </c>
      <c r="F34" s="182">
        <v>45574</v>
      </c>
      <c r="G34" s="65">
        <v>282</v>
      </c>
      <c r="H34" s="65" t="s">
        <v>69</v>
      </c>
      <c r="I34" s="65">
        <v>408000</v>
      </c>
      <c r="K34" s="65">
        <v>1.6285000000000001</v>
      </c>
      <c r="L34" s="65">
        <v>1.6285000000000001</v>
      </c>
      <c r="M34" s="65">
        <v>2</v>
      </c>
      <c r="N34" s="65">
        <v>0.96499999999999997</v>
      </c>
      <c r="O34" s="65">
        <v>1.93</v>
      </c>
      <c r="P34" s="66">
        <v>8437.8238341968918</v>
      </c>
      <c r="Q34" s="66"/>
      <c r="R34" s="66"/>
      <c r="S34" s="66"/>
      <c r="T34" s="66"/>
      <c r="U34" s="66"/>
      <c r="V34" s="66"/>
      <c r="W34" s="66">
        <v>0.45348480196499846</v>
      </c>
      <c r="X34" s="66">
        <v>3826.4248704663214</v>
      </c>
      <c r="Y34" s="66">
        <v>3826.4248704663214</v>
      </c>
      <c r="Z34" s="66">
        <v>0.45348480196499846</v>
      </c>
      <c r="AA34" s="66"/>
      <c r="AB34" s="66"/>
      <c r="AC34" s="183">
        <v>65.533023643618606</v>
      </c>
    </row>
    <row r="35" spans="1:29" x14ac:dyDescent="0.25">
      <c r="A35" s="136">
        <v>4</v>
      </c>
      <c r="B35" s="65" t="s">
        <v>6</v>
      </c>
      <c r="C35" s="65" t="s">
        <v>1</v>
      </c>
      <c r="D35" s="65">
        <v>1</v>
      </c>
      <c r="E35" s="201">
        <v>5</v>
      </c>
      <c r="F35" s="182">
        <v>45574</v>
      </c>
      <c r="G35" s="65">
        <v>282</v>
      </c>
      <c r="H35" s="65" t="s">
        <v>69</v>
      </c>
      <c r="I35" s="65">
        <v>408000</v>
      </c>
      <c r="K35" s="65">
        <v>1.2685</v>
      </c>
      <c r="L35" s="65">
        <v>1.2685</v>
      </c>
      <c r="M35" s="65">
        <v>2</v>
      </c>
      <c r="N35" s="65">
        <v>0.96499999999999997</v>
      </c>
      <c r="O35" s="65">
        <v>1.93</v>
      </c>
      <c r="P35" s="66">
        <v>6572.5388601036275</v>
      </c>
      <c r="Q35" s="66"/>
      <c r="R35" s="66"/>
      <c r="S35" s="66"/>
      <c r="T35" s="66"/>
      <c r="U35" s="66"/>
      <c r="V35" s="66"/>
      <c r="W35" s="66">
        <v>0.42932597556168695</v>
      </c>
      <c r="X35" s="66">
        <v>2821.7616580310878</v>
      </c>
      <c r="Y35" s="66">
        <v>2821.7616580310873</v>
      </c>
      <c r="Z35" s="66">
        <v>0.42932597556168689</v>
      </c>
      <c r="AA35" s="66"/>
      <c r="AB35" s="66"/>
      <c r="AC35" s="183">
        <v>48.326722649038167</v>
      </c>
    </row>
    <row r="36" spans="1:29" x14ac:dyDescent="0.25">
      <c r="A36" s="136">
        <v>4</v>
      </c>
      <c r="B36" s="65" t="s">
        <v>7</v>
      </c>
      <c r="C36" s="65" t="s">
        <v>1</v>
      </c>
      <c r="D36" s="65">
        <v>1</v>
      </c>
      <c r="E36" s="201">
        <v>6</v>
      </c>
      <c r="F36" s="182">
        <v>45574</v>
      </c>
      <c r="G36" s="65">
        <v>282</v>
      </c>
      <c r="H36" s="65" t="s">
        <v>69</v>
      </c>
      <c r="I36" s="65">
        <v>408000</v>
      </c>
      <c r="K36" s="65">
        <v>1.2044999999999999</v>
      </c>
      <c r="L36" s="65">
        <v>1.2044999999999999</v>
      </c>
      <c r="M36" s="65">
        <v>2</v>
      </c>
      <c r="N36" s="65">
        <v>0.96499999999999997</v>
      </c>
      <c r="O36" s="65">
        <v>1.93</v>
      </c>
      <c r="P36" s="66">
        <v>6240.932642487046</v>
      </c>
      <c r="Q36" s="66"/>
      <c r="R36" s="66"/>
      <c r="S36" s="66"/>
      <c r="T36" s="66"/>
      <c r="U36" s="66"/>
      <c r="V36" s="66"/>
      <c r="W36" s="66">
        <v>0.47978414279784143</v>
      </c>
      <c r="X36" s="66">
        <v>2994.3005181347148</v>
      </c>
      <c r="Y36" s="66">
        <v>2994.3005181347153</v>
      </c>
      <c r="Z36" s="66">
        <v>0.47978414279784154</v>
      </c>
      <c r="AA36" s="66"/>
      <c r="AB36" s="66"/>
      <c r="AC36" s="183">
        <v>51.281698528973862</v>
      </c>
    </row>
    <row r="37" spans="1:29" x14ac:dyDescent="0.25">
      <c r="A37" s="136">
        <v>4</v>
      </c>
      <c r="B37" s="65" t="s">
        <v>8</v>
      </c>
      <c r="C37" s="65" t="s">
        <v>1</v>
      </c>
      <c r="D37" s="65">
        <v>1</v>
      </c>
      <c r="E37" s="201">
        <v>7</v>
      </c>
      <c r="F37" s="182">
        <v>45574</v>
      </c>
      <c r="G37" s="65">
        <v>282</v>
      </c>
      <c r="H37" s="65" t="s">
        <v>69</v>
      </c>
      <c r="I37" s="65">
        <v>408000</v>
      </c>
      <c r="K37" s="65">
        <v>1.3574999999999999</v>
      </c>
      <c r="L37" s="65">
        <v>1.3574999999999999</v>
      </c>
      <c r="M37" s="65">
        <v>2</v>
      </c>
      <c r="N37" s="65">
        <v>0.96499999999999997</v>
      </c>
      <c r="O37" s="65">
        <v>1.93</v>
      </c>
      <c r="P37" s="66">
        <v>7033.6787564766846</v>
      </c>
      <c r="Q37" s="66"/>
      <c r="R37" s="66"/>
      <c r="S37" s="66"/>
      <c r="T37" s="66"/>
      <c r="U37" s="66"/>
      <c r="V37" s="66"/>
      <c r="W37" s="66">
        <v>0.44626151012891346</v>
      </c>
      <c r="X37" s="66">
        <v>3138.8601036269433</v>
      </c>
      <c r="Y37" s="66">
        <v>3138.8601036269433</v>
      </c>
      <c r="Z37" s="66">
        <v>0.44626151012891346</v>
      </c>
      <c r="AA37" s="66"/>
      <c r="AB37" s="66"/>
      <c r="AC37" s="183">
        <v>53.757489131082139</v>
      </c>
    </row>
    <row r="38" spans="1:29" x14ac:dyDescent="0.25">
      <c r="A38" s="136">
        <v>4</v>
      </c>
      <c r="B38" s="65" t="s">
        <v>9</v>
      </c>
      <c r="C38" s="65" t="s">
        <v>1</v>
      </c>
      <c r="D38" s="65">
        <v>1</v>
      </c>
      <c r="E38" s="201">
        <v>8</v>
      </c>
      <c r="F38" s="182">
        <v>45574</v>
      </c>
      <c r="G38" s="65">
        <v>282</v>
      </c>
      <c r="H38" s="65" t="s">
        <v>69</v>
      </c>
      <c r="I38" s="65">
        <v>408000</v>
      </c>
      <c r="K38" s="65">
        <v>1.4604999999999999</v>
      </c>
      <c r="L38" s="65">
        <v>1.4604999999999999</v>
      </c>
      <c r="M38" s="65">
        <v>2</v>
      </c>
      <c r="N38" s="65">
        <v>0.96499999999999997</v>
      </c>
      <c r="O38" s="65">
        <v>1.93</v>
      </c>
      <c r="P38" s="66">
        <v>7567.3575129533683</v>
      </c>
      <c r="Q38" s="66"/>
      <c r="R38" s="66"/>
      <c r="S38" s="66"/>
      <c r="T38" s="66"/>
      <c r="U38" s="66"/>
      <c r="V38" s="66"/>
      <c r="W38" s="66">
        <v>0.48579253680246498</v>
      </c>
      <c r="X38" s="66">
        <v>3676.1658031088091</v>
      </c>
      <c r="Y38" s="66">
        <v>3676.1658031088086</v>
      </c>
      <c r="Z38" s="66">
        <v>0.48579253680246492</v>
      </c>
      <c r="AA38" s="66"/>
      <c r="AB38" s="66"/>
      <c r="AC38" s="183">
        <v>62.959621225656605</v>
      </c>
    </row>
    <row r="39" spans="1:29" x14ac:dyDescent="0.25">
      <c r="A39" s="136">
        <v>4</v>
      </c>
      <c r="B39" s="65" t="s">
        <v>3</v>
      </c>
      <c r="C39" s="65" t="s">
        <v>1</v>
      </c>
      <c r="D39" s="65">
        <v>2</v>
      </c>
      <c r="E39" s="201">
        <v>9</v>
      </c>
      <c r="F39" s="182">
        <v>45574</v>
      </c>
      <c r="G39" s="65">
        <v>282</v>
      </c>
      <c r="H39" s="65" t="s">
        <v>69</v>
      </c>
      <c r="I39" s="65">
        <v>408000</v>
      </c>
      <c r="K39" s="65">
        <v>1.4245000000000001</v>
      </c>
      <c r="L39" s="65">
        <v>1.4245000000000001</v>
      </c>
      <c r="M39" s="65">
        <v>2</v>
      </c>
      <c r="N39" s="65">
        <v>0.96499999999999997</v>
      </c>
      <c r="O39" s="65">
        <v>1.93</v>
      </c>
      <c r="P39" s="66">
        <v>7380.8290155440427</v>
      </c>
      <c r="Q39" s="66"/>
      <c r="R39" s="66"/>
      <c r="S39" s="66"/>
      <c r="T39" s="66"/>
      <c r="U39" s="66"/>
      <c r="V39" s="66"/>
      <c r="W39" s="66">
        <v>0.47188487188487177</v>
      </c>
      <c r="X39" s="66">
        <v>3482.9015544041449</v>
      </c>
      <c r="Y39" s="66">
        <v>3482.9015544041449</v>
      </c>
      <c r="Z39" s="66">
        <v>0.47188487188487177</v>
      </c>
      <c r="AA39" s="66"/>
      <c r="AB39" s="66"/>
      <c r="AC39" s="183">
        <v>59.649693288070985</v>
      </c>
    </row>
    <row r="40" spans="1:29" x14ac:dyDescent="0.25">
      <c r="A40" s="136">
        <v>4</v>
      </c>
      <c r="B40" s="65" t="s">
        <v>9</v>
      </c>
      <c r="C40" s="65" t="s">
        <v>1</v>
      </c>
      <c r="D40" s="65">
        <v>2</v>
      </c>
      <c r="E40" s="201">
        <v>10</v>
      </c>
      <c r="F40" s="182">
        <v>45574</v>
      </c>
      <c r="G40" s="65">
        <v>282</v>
      </c>
      <c r="H40" s="65" t="s">
        <v>69</v>
      </c>
      <c r="I40" s="65">
        <v>408000</v>
      </c>
      <c r="K40" s="65">
        <v>1.7235</v>
      </c>
      <c r="L40" s="65">
        <v>1.7235</v>
      </c>
      <c r="M40" s="65">
        <v>2</v>
      </c>
      <c r="N40" s="65">
        <v>0.96499999999999997</v>
      </c>
      <c r="O40" s="65">
        <v>1.93</v>
      </c>
      <c r="P40" s="66">
        <v>8930.0518134715021</v>
      </c>
      <c r="Q40" s="66"/>
      <c r="R40" s="66"/>
      <c r="S40" s="66"/>
      <c r="T40" s="66"/>
      <c r="U40" s="66"/>
      <c r="V40" s="66"/>
      <c r="W40" s="66">
        <v>0.12967798085291565</v>
      </c>
      <c r="X40" s="66">
        <v>1158.0310880829022</v>
      </c>
      <c r="Y40" s="66">
        <v>1158.0310880829022</v>
      </c>
      <c r="Z40" s="66">
        <v>0.12967798085291565</v>
      </c>
      <c r="AA40" s="66"/>
      <c r="AB40" s="66"/>
      <c r="AC40" s="183">
        <v>19.832946221189935</v>
      </c>
    </row>
    <row r="41" spans="1:29" x14ac:dyDescent="0.25">
      <c r="A41" s="136">
        <v>4</v>
      </c>
      <c r="B41" s="65" t="s">
        <v>8</v>
      </c>
      <c r="C41" s="65" t="s">
        <v>1</v>
      </c>
      <c r="D41" s="65">
        <v>2</v>
      </c>
      <c r="E41" s="201">
        <v>11</v>
      </c>
      <c r="F41" s="182">
        <v>45574</v>
      </c>
      <c r="G41" s="65">
        <v>282</v>
      </c>
      <c r="H41" s="65" t="s">
        <v>69</v>
      </c>
      <c r="I41" s="65">
        <v>408000</v>
      </c>
      <c r="K41" s="65">
        <v>1.3280000000000001</v>
      </c>
      <c r="L41" s="65">
        <v>1.3280000000000001</v>
      </c>
      <c r="M41" s="65">
        <v>2</v>
      </c>
      <c r="N41" s="65">
        <v>0.96499999999999997</v>
      </c>
      <c r="O41" s="65">
        <v>1.93</v>
      </c>
      <c r="P41" s="66">
        <v>6880.8290155440418</v>
      </c>
      <c r="Q41" s="66"/>
      <c r="R41" s="66"/>
      <c r="S41" s="66"/>
      <c r="T41" s="66"/>
      <c r="U41" s="66"/>
      <c r="V41" s="66"/>
      <c r="W41" s="66">
        <v>0.35218373493975896</v>
      </c>
      <c r="X41" s="66">
        <v>2423.3160621761654</v>
      </c>
      <c r="Y41" s="66">
        <v>2423.3160621761654</v>
      </c>
      <c r="Z41" s="66">
        <v>0.35218373493975896</v>
      </c>
      <c r="AA41" s="66"/>
      <c r="AB41" s="66"/>
      <c r="AC41" s="183">
        <v>41.502769340718238</v>
      </c>
    </row>
    <row r="42" spans="1:29" x14ac:dyDescent="0.25">
      <c r="A42" s="136">
        <v>4</v>
      </c>
      <c r="B42" s="65" t="s">
        <v>4</v>
      </c>
      <c r="C42" s="65" t="s">
        <v>1</v>
      </c>
      <c r="D42" s="65">
        <v>2</v>
      </c>
      <c r="E42" s="201">
        <v>12</v>
      </c>
      <c r="F42" s="182">
        <v>45574</v>
      </c>
      <c r="G42" s="65">
        <v>282</v>
      </c>
      <c r="H42" s="65" t="s">
        <v>69</v>
      </c>
      <c r="I42" s="65">
        <v>408000</v>
      </c>
      <c r="K42" s="65">
        <v>1.2364999999999999</v>
      </c>
      <c r="L42" s="65">
        <v>1.2364999999999999</v>
      </c>
      <c r="M42" s="65">
        <v>2</v>
      </c>
      <c r="N42" s="65">
        <v>0.96499999999999997</v>
      </c>
      <c r="O42" s="65">
        <v>1.93</v>
      </c>
      <c r="P42" s="66">
        <v>6406.7357512953367</v>
      </c>
      <c r="Q42" s="66"/>
      <c r="R42" s="66"/>
      <c r="S42" s="66"/>
      <c r="T42" s="66"/>
      <c r="U42" s="66"/>
      <c r="V42" s="66"/>
      <c r="W42" s="66">
        <v>0.10901738778811165</v>
      </c>
      <c r="X42" s="66">
        <v>698.44559585492254</v>
      </c>
      <c r="Y42" s="66">
        <v>698.44559585492266</v>
      </c>
      <c r="Z42" s="66">
        <v>0.10901738778811167</v>
      </c>
      <c r="AA42" s="66"/>
      <c r="AB42" s="66"/>
      <c r="AC42" s="183">
        <v>11.961884342802698</v>
      </c>
    </row>
    <row r="43" spans="1:29" x14ac:dyDescent="0.25">
      <c r="A43" s="136">
        <v>4</v>
      </c>
      <c r="B43" s="65" t="s">
        <v>7</v>
      </c>
      <c r="C43" s="65" t="s">
        <v>1</v>
      </c>
      <c r="D43" s="65">
        <v>2</v>
      </c>
      <c r="E43" s="201">
        <v>13</v>
      </c>
      <c r="F43" s="182">
        <v>45574</v>
      </c>
      <c r="G43" s="65">
        <v>282</v>
      </c>
      <c r="H43" s="65" t="s">
        <v>69</v>
      </c>
      <c r="I43" s="65">
        <v>408000</v>
      </c>
      <c r="K43" s="65">
        <v>1.0825</v>
      </c>
      <c r="L43" s="65">
        <v>1.0825</v>
      </c>
      <c r="M43" s="65">
        <v>2</v>
      </c>
      <c r="N43" s="65">
        <v>0.96499999999999997</v>
      </c>
      <c r="O43" s="65">
        <v>1.93</v>
      </c>
      <c r="P43" s="66">
        <v>5608.8082901554408</v>
      </c>
      <c r="Q43" s="66"/>
      <c r="R43" s="66"/>
      <c r="S43" s="66"/>
      <c r="T43" s="66"/>
      <c r="U43" s="66"/>
      <c r="V43" s="66"/>
      <c r="W43" s="66">
        <v>0.32655889145496531</v>
      </c>
      <c r="X43" s="66">
        <v>1831.6062176165801</v>
      </c>
      <c r="Y43" s="66">
        <v>1831.6062176165799</v>
      </c>
      <c r="Z43" s="66">
        <v>0.32655889145496525</v>
      </c>
      <c r="AA43" s="66"/>
      <c r="AB43" s="66"/>
      <c r="AC43" s="183">
        <v>31.368888094812689</v>
      </c>
    </row>
    <row r="44" spans="1:29" x14ac:dyDescent="0.25">
      <c r="A44" s="136">
        <v>4</v>
      </c>
      <c r="B44" s="65" t="s">
        <v>0</v>
      </c>
      <c r="C44" s="65" t="s">
        <v>1</v>
      </c>
      <c r="D44" s="65">
        <v>2</v>
      </c>
      <c r="E44" s="201">
        <v>14</v>
      </c>
      <c r="F44" s="182">
        <v>45574</v>
      </c>
      <c r="G44" s="65">
        <v>282</v>
      </c>
      <c r="H44" s="65" t="s">
        <v>69</v>
      </c>
      <c r="I44" s="65">
        <v>408000</v>
      </c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187"/>
    </row>
    <row r="45" spans="1:29" x14ac:dyDescent="0.25">
      <c r="A45" s="136">
        <v>4</v>
      </c>
      <c r="B45" s="65" t="s">
        <v>6</v>
      </c>
      <c r="C45" s="65" t="s">
        <v>1</v>
      </c>
      <c r="D45" s="65">
        <v>2</v>
      </c>
      <c r="E45" s="201">
        <v>15</v>
      </c>
      <c r="F45" s="182">
        <v>45574</v>
      </c>
      <c r="G45" s="65">
        <v>282</v>
      </c>
      <c r="H45" s="65" t="s">
        <v>69</v>
      </c>
      <c r="I45" s="65">
        <v>408000</v>
      </c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187"/>
    </row>
    <row r="46" spans="1:29" x14ac:dyDescent="0.25">
      <c r="A46" s="136">
        <v>4</v>
      </c>
      <c r="B46" s="65" t="s">
        <v>5</v>
      </c>
      <c r="C46" s="65" t="s">
        <v>1</v>
      </c>
      <c r="D46" s="65">
        <v>2</v>
      </c>
      <c r="E46" s="201">
        <v>16</v>
      </c>
      <c r="F46" s="182">
        <v>45574</v>
      </c>
      <c r="G46" s="65">
        <v>282</v>
      </c>
      <c r="H46" s="65" t="s">
        <v>69</v>
      </c>
      <c r="I46" s="65">
        <v>408000</v>
      </c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187"/>
    </row>
    <row r="47" spans="1:29" x14ac:dyDescent="0.25">
      <c r="A47" s="136">
        <v>4</v>
      </c>
      <c r="B47" s="65" t="s">
        <v>9</v>
      </c>
      <c r="C47" s="65" t="s">
        <v>1</v>
      </c>
      <c r="D47" s="65">
        <v>3</v>
      </c>
      <c r="E47" s="201">
        <v>17</v>
      </c>
      <c r="F47" s="182">
        <v>45574</v>
      </c>
      <c r="G47" s="65">
        <v>282</v>
      </c>
      <c r="H47" s="65" t="s">
        <v>69</v>
      </c>
      <c r="I47" s="65">
        <v>408000</v>
      </c>
      <c r="K47" s="65">
        <v>1.7965</v>
      </c>
      <c r="L47" s="65">
        <v>1.7965</v>
      </c>
      <c r="M47" s="65">
        <v>2</v>
      </c>
      <c r="N47" s="65">
        <v>0.96499999999999997</v>
      </c>
      <c r="O47" s="65">
        <v>1.93</v>
      </c>
      <c r="P47" s="66">
        <v>9308.2901554404143</v>
      </c>
      <c r="Q47" s="66"/>
      <c r="R47" s="66"/>
      <c r="S47" s="66"/>
      <c r="T47" s="66"/>
      <c r="U47" s="66"/>
      <c r="V47" s="66"/>
      <c r="W47" s="66">
        <v>0.47620372947397721</v>
      </c>
      <c r="X47" s="66">
        <v>4432.6424870466326</v>
      </c>
      <c r="Y47" s="66">
        <v>4432.6424870466326</v>
      </c>
      <c r="Z47" s="66">
        <v>0.47620372947397721</v>
      </c>
      <c r="AA47" s="66"/>
      <c r="AB47" s="66"/>
      <c r="AC47" s="183">
        <v>75.915371329879108</v>
      </c>
    </row>
    <row r="48" spans="1:29" x14ac:dyDescent="0.25">
      <c r="A48" s="136">
        <v>4</v>
      </c>
      <c r="B48" s="65" t="s">
        <v>3</v>
      </c>
      <c r="C48" s="65" t="s">
        <v>1</v>
      </c>
      <c r="D48" s="65">
        <v>3</v>
      </c>
      <c r="E48" s="201">
        <v>18</v>
      </c>
      <c r="F48" s="182">
        <v>45574</v>
      </c>
      <c r="G48" s="65">
        <v>282</v>
      </c>
      <c r="H48" s="65" t="s">
        <v>69</v>
      </c>
      <c r="I48" s="65">
        <v>408000</v>
      </c>
      <c r="K48" s="65">
        <v>1.1910000000000001</v>
      </c>
      <c r="L48" s="65">
        <v>1.1910000000000001</v>
      </c>
      <c r="M48" s="65">
        <v>2</v>
      </c>
      <c r="N48" s="65">
        <v>0.96499999999999997</v>
      </c>
      <c r="O48" s="65">
        <v>1.93</v>
      </c>
      <c r="P48" s="66">
        <v>6170.984455958549</v>
      </c>
      <c r="Q48" s="66"/>
      <c r="R48" s="66"/>
      <c r="S48" s="66"/>
      <c r="T48" s="66"/>
      <c r="U48" s="66"/>
      <c r="V48" s="66"/>
      <c r="W48" s="66">
        <v>0.55281276238455079</v>
      </c>
      <c r="X48" s="66">
        <v>3411.3989637305699</v>
      </c>
      <c r="Y48" s="66">
        <v>3411.3989637305699</v>
      </c>
      <c r="Z48" s="66">
        <v>0.55281276238455079</v>
      </c>
      <c r="AA48" s="66"/>
      <c r="AB48" s="66"/>
      <c r="AC48" s="183">
        <v>58.425108689178721</v>
      </c>
    </row>
    <row r="49" spans="1:29" x14ac:dyDescent="0.25">
      <c r="A49" s="136">
        <v>4</v>
      </c>
      <c r="B49" s="65" t="s">
        <v>5</v>
      </c>
      <c r="C49" s="65" t="s">
        <v>1</v>
      </c>
      <c r="D49" s="65">
        <v>3</v>
      </c>
      <c r="E49" s="201">
        <v>19</v>
      </c>
      <c r="F49" s="182">
        <v>45574</v>
      </c>
      <c r="G49" s="65">
        <v>282</v>
      </c>
      <c r="H49" s="65" t="s">
        <v>69</v>
      </c>
      <c r="I49" s="65">
        <v>408000</v>
      </c>
      <c r="K49" s="65">
        <v>1.2695000000000001</v>
      </c>
      <c r="L49" s="65">
        <v>1.2695000000000001</v>
      </c>
      <c r="M49" s="65">
        <v>2</v>
      </c>
      <c r="N49" s="65">
        <v>0.96499999999999997</v>
      </c>
      <c r="O49" s="65">
        <v>1.93</v>
      </c>
      <c r="P49" s="66">
        <v>6577.7202072538867</v>
      </c>
      <c r="Q49" s="66"/>
      <c r="R49" s="66"/>
      <c r="S49" s="66"/>
      <c r="T49" s="66"/>
      <c r="U49" s="66"/>
      <c r="V49" s="66"/>
      <c r="W49" s="66">
        <v>0.46112642772745177</v>
      </c>
      <c r="X49" s="66">
        <v>3033.1606217616586</v>
      </c>
      <c r="Y49" s="66">
        <v>3033.1606217616581</v>
      </c>
      <c r="Z49" s="66">
        <v>0.46112642772745172</v>
      </c>
      <c r="AA49" s="66"/>
      <c r="AB49" s="66"/>
      <c r="AC49" s="183">
        <v>51.947233637067477</v>
      </c>
    </row>
    <row r="50" spans="1:29" x14ac:dyDescent="0.25">
      <c r="A50" s="136">
        <v>4</v>
      </c>
      <c r="B50" s="65" t="s">
        <v>7</v>
      </c>
      <c r="C50" s="65" t="s">
        <v>1</v>
      </c>
      <c r="D50" s="65">
        <v>3</v>
      </c>
      <c r="E50" s="201">
        <v>20</v>
      </c>
      <c r="F50" s="182">
        <v>45574</v>
      </c>
      <c r="G50" s="65">
        <v>282</v>
      </c>
      <c r="H50" s="65" t="s">
        <v>69</v>
      </c>
      <c r="I50" s="65">
        <v>408000</v>
      </c>
      <c r="K50" s="65">
        <v>1.1975</v>
      </c>
      <c r="L50" s="65">
        <v>1.1975</v>
      </c>
      <c r="M50" s="65">
        <v>2</v>
      </c>
      <c r="N50" s="65">
        <v>0.96499999999999997</v>
      </c>
      <c r="O50" s="65">
        <v>1.93</v>
      </c>
      <c r="P50" s="66">
        <v>6204.6632124352336</v>
      </c>
      <c r="Q50" s="66"/>
      <c r="R50" s="66"/>
      <c r="S50" s="66"/>
      <c r="T50" s="66"/>
      <c r="U50" s="66"/>
      <c r="V50" s="66"/>
      <c r="W50" s="66">
        <v>0.45645093945720239</v>
      </c>
      <c r="X50" s="66">
        <v>2832.1243523316057</v>
      </c>
      <c r="Y50" s="66">
        <v>2832.1243523316057</v>
      </c>
      <c r="Z50" s="66">
        <v>0.45645093945720239</v>
      </c>
      <c r="AA50" s="66"/>
      <c r="AB50" s="66"/>
      <c r="AC50" s="183">
        <v>48.50419867786313</v>
      </c>
    </row>
    <row r="51" spans="1:29" x14ac:dyDescent="0.25">
      <c r="A51" s="136">
        <v>4</v>
      </c>
      <c r="B51" s="65" t="s">
        <v>6</v>
      </c>
      <c r="C51" s="65" t="s">
        <v>1</v>
      </c>
      <c r="D51" s="65">
        <v>3</v>
      </c>
      <c r="E51" s="201">
        <v>21</v>
      </c>
      <c r="F51" s="182">
        <v>45574</v>
      </c>
      <c r="G51" s="65">
        <v>282</v>
      </c>
      <c r="H51" s="65" t="s">
        <v>69</v>
      </c>
      <c r="I51" s="65">
        <v>408000</v>
      </c>
      <c r="K51" s="65">
        <v>1.671</v>
      </c>
      <c r="L51" s="65">
        <v>1.671</v>
      </c>
      <c r="M51" s="65">
        <v>2</v>
      </c>
      <c r="N51" s="65">
        <v>0.96499999999999997</v>
      </c>
      <c r="O51" s="65">
        <v>1.93</v>
      </c>
      <c r="P51" s="66">
        <v>8658.031088082902</v>
      </c>
      <c r="Q51" s="66"/>
      <c r="R51" s="66"/>
      <c r="S51" s="66"/>
      <c r="T51" s="66"/>
      <c r="U51" s="66"/>
      <c r="V51" s="66"/>
      <c r="W51" s="66">
        <v>0.43668461998803104</v>
      </c>
      <c r="X51" s="66">
        <v>3780.8290155440409</v>
      </c>
      <c r="Y51" s="66">
        <v>3780.8290155440409</v>
      </c>
      <c r="Z51" s="66">
        <v>0.43668461998803104</v>
      </c>
      <c r="AA51" s="66"/>
      <c r="AB51" s="66"/>
      <c r="AC51" s="183">
        <v>64.752129116788751</v>
      </c>
    </row>
    <row r="52" spans="1:29" x14ac:dyDescent="0.25">
      <c r="A52" s="136">
        <v>4</v>
      </c>
      <c r="B52" s="65" t="s">
        <v>8</v>
      </c>
      <c r="C52" s="65" t="s">
        <v>1</v>
      </c>
      <c r="D52" s="65">
        <v>3</v>
      </c>
      <c r="E52" s="201">
        <v>22</v>
      </c>
      <c r="F52" s="182">
        <v>45574</v>
      </c>
      <c r="G52" s="65">
        <v>282</v>
      </c>
      <c r="H52" s="65" t="s">
        <v>69</v>
      </c>
      <c r="I52" s="65">
        <v>408000</v>
      </c>
      <c r="K52" s="65">
        <v>1.0865</v>
      </c>
      <c r="L52" s="65">
        <v>1.0865</v>
      </c>
      <c r="M52" s="65">
        <v>2</v>
      </c>
      <c r="N52" s="65">
        <v>0.96499999999999997</v>
      </c>
      <c r="O52" s="65">
        <v>1.93</v>
      </c>
      <c r="P52" s="66">
        <v>5629.5336787564765</v>
      </c>
      <c r="Q52" s="66"/>
      <c r="R52" s="66"/>
      <c r="S52" s="66"/>
      <c r="T52" s="66"/>
      <c r="U52" s="66"/>
      <c r="V52" s="66"/>
      <c r="W52" s="66">
        <v>0.44832029452369998</v>
      </c>
      <c r="X52" s="66">
        <v>2523.8341968911918</v>
      </c>
      <c r="Y52" s="66">
        <v>2523.8341968911918</v>
      </c>
      <c r="Z52" s="66">
        <v>0.44832029452369998</v>
      </c>
      <c r="AA52" s="66"/>
      <c r="AB52" s="66"/>
      <c r="AC52" s="183">
        <v>43.224286820320408</v>
      </c>
    </row>
    <row r="53" spans="1:29" x14ac:dyDescent="0.25">
      <c r="A53" s="136">
        <v>4</v>
      </c>
      <c r="B53" s="65" t="s">
        <v>0</v>
      </c>
      <c r="C53" s="65" t="s">
        <v>1</v>
      </c>
      <c r="D53" s="65">
        <v>3</v>
      </c>
      <c r="E53" s="201">
        <v>23</v>
      </c>
      <c r="F53" s="182">
        <v>45574</v>
      </c>
      <c r="G53" s="65">
        <v>282</v>
      </c>
      <c r="H53" s="65" t="s">
        <v>69</v>
      </c>
      <c r="I53" s="65">
        <v>408000</v>
      </c>
      <c r="K53" s="65">
        <v>1.5395000000000001</v>
      </c>
      <c r="L53" s="65">
        <v>1.5395000000000001</v>
      </c>
      <c r="M53" s="65">
        <v>2</v>
      </c>
      <c r="N53" s="65">
        <v>0.96499999999999997</v>
      </c>
      <c r="O53" s="65">
        <v>1.93</v>
      </c>
      <c r="P53" s="66">
        <v>7976.6839378238346</v>
      </c>
      <c r="Q53" s="66"/>
      <c r="R53" s="66"/>
      <c r="S53" s="66"/>
      <c r="T53" s="66"/>
      <c r="U53" s="66"/>
      <c r="V53" s="66"/>
      <c r="W53" s="66">
        <v>0.46989282234491708</v>
      </c>
      <c r="X53" s="66">
        <v>3748.1865284974087</v>
      </c>
      <c r="Y53" s="66">
        <v>3748.1865284974092</v>
      </c>
      <c r="Z53" s="66">
        <v>0.46989282234491714</v>
      </c>
      <c r="AA53" s="66"/>
      <c r="AB53" s="66"/>
      <c r="AC53" s="183">
        <v>64.193079625990109</v>
      </c>
    </row>
    <row r="54" spans="1:29" ht="15.75" thickBot="1" x14ac:dyDescent="0.3">
      <c r="A54" s="138">
        <v>4</v>
      </c>
      <c r="B54" s="139" t="s">
        <v>4</v>
      </c>
      <c r="C54" s="139" t="s">
        <v>1</v>
      </c>
      <c r="D54" s="139">
        <v>3</v>
      </c>
      <c r="E54" s="202">
        <v>24</v>
      </c>
      <c r="F54" s="184">
        <v>45574</v>
      </c>
      <c r="G54" s="139">
        <v>282</v>
      </c>
      <c r="H54" s="139" t="s">
        <v>69</v>
      </c>
      <c r="I54" s="139">
        <v>408000</v>
      </c>
      <c r="J54" s="117"/>
      <c r="K54" s="139">
        <v>1.359</v>
      </c>
      <c r="L54" s="139">
        <v>1.359</v>
      </c>
      <c r="M54" s="139">
        <v>2</v>
      </c>
      <c r="N54" s="139">
        <v>0.96499999999999997</v>
      </c>
      <c r="O54" s="139">
        <v>1.93</v>
      </c>
      <c r="P54" s="185">
        <v>7041.4507772020725</v>
      </c>
      <c r="Q54" s="185"/>
      <c r="R54" s="185"/>
      <c r="S54" s="185"/>
      <c r="T54" s="185"/>
      <c r="U54" s="185"/>
      <c r="V54" s="185"/>
      <c r="W54" s="185">
        <v>0.47417218543046358</v>
      </c>
      <c r="X54" s="185">
        <v>3338.8601036269429</v>
      </c>
      <c r="Y54" s="185">
        <v>3338.8601036269433</v>
      </c>
      <c r="Z54" s="185">
        <v>0.47417218543046363</v>
      </c>
      <c r="AA54" s="185"/>
      <c r="AB54" s="185"/>
      <c r="AC54" s="186">
        <v>57.18277648740397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06B2-9A4E-4EC1-90EA-364AD309D690}">
  <dimension ref="A1:AA93"/>
  <sheetViews>
    <sheetView topLeftCell="E43" zoomScale="112" zoomScaleNormal="112" workbookViewId="0">
      <selection activeCell="I90" sqref="I90"/>
    </sheetView>
  </sheetViews>
  <sheetFormatPr defaultRowHeight="15" x14ac:dyDescent="0.25"/>
  <cols>
    <col min="2" max="2" width="20.42578125" customWidth="1"/>
    <col min="3" max="3" width="19.28515625" customWidth="1"/>
    <col min="4" max="4" width="9.28515625" bestFit="1" customWidth="1"/>
    <col min="5" max="6" width="13.42578125" bestFit="1" customWidth="1"/>
    <col min="10" max="10" width="22.42578125" customWidth="1"/>
    <col min="11" max="11" width="25.140625" customWidth="1"/>
    <col min="12" max="12" width="9.28515625" bestFit="1" customWidth="1"/>
    <col min="13" max="14" width="13.42578125" bestFit="1" customWidth="1"/>
  </cols>
  <sheetData>
    <row r="1" spans="1:20" ht="15.75" thickBot="1" x14ac:dyDescent="0.3"/>
    <row r="2" spans="1:20" x14ac:dyDescent="0.25">
      <c r="A2" s="65"/>
      <c r="B2" s="23" t="s">
        <v>43</v>
      </c>
      <c r="C2" s="24" t="s">
        <v>49</v>
      </c>
      <c r="D2" s="25" t="s">
        <v>50</v>
      </c>
      <c r="F2" s="70" t="s">
        <v>49</v>
      </c>
      <c r="G2" s="1"/>
      <c r="H2" s="29"/>
      <c r="M2" s="20"/>
      <c r="N2" s="33"/>
      <c r="T2" s="32"/>
    </row>
    <row r="3" spans="1:20" ht="26.25" x14ac:dyDescent="0.4">
      <c r="A3" s="65"/>
      <c r="B3" s="26" t="s">
        <v>44</v>
      </c>
      <c r="C3" s="27">
        <v>0.64149999999999996</v>
      </c>
      <c r="D3" s="27">
        <v>0.20530000000000001</v>
      </c>
      <c r="F3" s="71" t="s">
        <v>14</v>
      </c>
      <c r="G3" s="49" t="s">
        <v>50</v>
      </c>
      <c r="H3" s="30"/>
      <c r="J3" s="69" t="s">
        <v>70</v>
      </c>
      <c r="K3" s="64"/>
      <c r="M3" s="21"/>
      <c r="N3" s="19"/>
    </row>
    <row r="4" spans="1:20" x14ac:dyDescent="0.25">
      <c r="A4" s="65" t="s">
        <v>71</v>
      </c>
      <c r="B4" s="26" t="s">
        <v>45</v>
      </c>
      <c r="C4" s="27">
        <v>0.59209999999999996</v>
      </c>
      <c r="D4" s="27">
        <v>2.1299999999999999E-2</v>
      </c>
      <c r="F4" s="72">
        <v>0.45122441213128056</v>
      </c>
      <c r="G4" s="72">
        <v>0.45321745315367079</v>
      </c>
      <c r="H4" s="31"/>
      <c r="M4" s="21"/>
      <c r="N4" s="19"/>
    </row>
    <row r="5" spans="1:20" x14ac:dyDescent="0.25">
      <c r="A5" s="65"/>
      <c r="B5" s="26" t="s">
        <v>46</v>
      </c>
      <c r="C5" s="27">
        <v>0.98070000000000002</v>
      </c>
      <c r="D5" s="27">
        <v>0.97350000000000003</v>
      </c>
      <c r="F5" s="1"/>
      <c r="G5" s="1"/>
      <c r="H5" s="32"/>
      <c r="M5" s="21"/>
      <c r="N5" s="19"/>
    </row>
    <row r="6" spans="1:20" x14ac:dyDescent="0.25">
      <c r="A6" s="65" t="s">
        <v>72</v>
      </c>
      <c r="B6" s="26" t="s">
        <v>47</v>
      </c>
      <c r="C6" s="27">
        <v>1.1000000000000001E-3</v>
      </c>
      <c r="D6" s="27" t="s">
        <v>54</v>
      </c>
      <c r="F6" s="71" t="s">
        <v>1</v>
      </c>
      <c r="G6" s="1"/>
      <c r="H6" s="32"/>
      <c r="M6" s="21"/>
      <c r="N6" s="19"/>
    </row>
    <row r="7" spans="1:20" x14ac:dyDescent="0.25">
      <c r="A7" s="65"/>
      <c r="B7" s="26" t="s">
        <v>48</v>
      </c>
      <c r="C7" s="27">
        <v>0.33350000000000002</v>
      </c>
      <c r="D7" s="27">
        <v>0.1159</v>
      </c>
      <c r="F7" s="72">
        <v>0.46473086743990799</v>
      </c>
      <c r="G7" s="72">
        <v>0.43242257473637652</v>
      </c>
      <c r="M7" s="32"/>
    </row>
    <row r="8" spans="1:20" x14ac:dyDescent="0.25">
      <c r="A8" s="65"/>
      <c r="B8" s="26" t="s">
        <v>51</v>
      </c>
      <c r="C8" s="28">
        <v>16.284669999999998</v>
      </c>
      <c r="D8" s="28">
        <v>8.5876979999999996</v>
      </c>
      <c r="M8" s="32"/>
    </row>
    <row r="9" spans="1:20" x14ac:dyDescent="0.25">
      <c r="A9" s="65"/>
      <c r="B9" s="26" t="s">
        <v>52</v>
      </c>
      <c r="C9" s="28">
        <v>0.45791700000000002</v>
      </c>
      <c r="D9" s="28">
        <v>0.442639</v>
      </c>
    </row>
    <row r="10" spans="1:20" x14ac:dyDescent="0.25">
      <c r="A10" s="65"/>
      <c r="B10" s="26" t="s">
        <v>53</v>
      </c>
      <c r="C10" s="28">
        <v>1.29E-2</v>
      </c>
      <c r="D10" s="28">
        <v>6.3E-3</v>
      </c>
    </row>
    <row r="15" spans="1:20" x14ac:dyDescent="0.25">
      <c r="B15" s="22"/>
    </row>
    <row r="17" spans="6:27" x14ac:dyDescent="0.25">
      <c r="AA17" s="31"/>
    </row>
    <row r="18" spans="6:27" x14ac:dyDescent="0.25">
      <c r="M18" s="32"/>
      <c r="S18" s="32"/>
      <c r="AA18" s="31"/>
    </row>
    <row r="19" spans="6:27" x14ac:dyDescent="0.25">
      <c r="AA19" s="32"/>
    </row>
    <row r="20" spans="6:27" x14ac:dyDescent="0.25">
      <c r="AA20" s="32"/>
    </row>
    <row r="21" spans="6:27" x14ac:dyDescent="0.25">
      <c r="AA21" s="32"/>
    </row>
    <row r="23" spans="6:27" x14ac:dyDescent="0.25">
      <c r="F23" s="31"/>
    </row>
    <row r="24" spans="6:27" x14ac:dyDescent="0.25">
      <c r="F24" s="32"/>
    </row>
    <row r="25" spans="6:27" x14ac:dyDescent="0.25">
      <c r="F25" s="32"/>
    </row>
    <row r="52" spans="2:14" ht="15.75" thickBot="1" x14ac:dyDescent="0.3"/>
    <row r="53" spans="2:14" ht="15.75" thickBot="1" x14ac:dyDescent="0.3">
      <c r="J53" s="46" t="s">
        <v>55</v>
      </c>
      <c r="K53" s="47" t="s">
        <v>55</v>
      </c>
      <c r="L53" s="203" t="s">
        <v>56</v>
      </c>
      <c r="M53" s="203" t="s">
        <v>50</v>
      </c>
      <c r="N53" s="204"/>
    </row>
    <row r="54" spans="2:14" x14ac:dyDescent="0.25">
      <c r="B54" s="36" t="s">
        <v>55</v>
      </c>
      <c r="C54" s="37" t="s">
        <v>55</v>
      </c>
      <c r="D54" s="206" t="s">
        <v>56</v>
      </c>
      <c r="E54" s="206" t="s">
        <v>49</v>
      </c>
      <c r="F54" s="208"/>
      <c r="J54" s="48" t="s">
        <v>47</v>
      </c>
      <c r="K54" s="49" t="s">
        <v>45</v>
      </c>
      <c r="L54" s="209"/>
      <c r="M54" s="49" t="s">
        <v>52</v>
      </c>
      <c r="N54" s="50" t="s">
        <v>57</v>
      </c>
    </row>
    <row r="55" spans="2:14" x14ac:dyDescent="0.25">
      <c r="B55" s="38" t="s">
        <v>47</v>
      </c>
      <c r="C55" s="25" t="s">
        <v>45</v>
      </c>
      <c r="D55" s="207"/>
      <c r="E55" s="25" t="s">
        <v>52</v>
      </c>
      <c r="F55" s="39" t="s">
        <v>57</v>
      </c>
      <c r="J55" s="48" t="s">
        <v>0</v>
      </c>
      <c r="K55" s="49" t="s">
        <v>58</v>
      </c>
      <c r="L55" s="49">
        <v>3</v>
      </c>
      <c r="M55" s="53">
        <v>0.49</v>
      </c>
      <c r="N55" s="54">
        <v>0.03</v>
      </c>
    </row>
    <row r="56" spans="2:14" x14ac:dyDescent="0.25">
      <c r="B56" s="38" t="s">
        <v>0</v>
      </c>
      <c r="C56" s="25" t="s">
        <v>58</v>
      </c>
      <c r="D56" s="25">
        <v>3</v>
      </c>
      <c r="E56" s="40">
        <v>0.46333332999999999</v>
      </c>
      <c r="F56" s="41">
        <v>0.13428825</v>
      </c>
      <c r="J56" s="48" t="s">
        <v>0</v>
      </c>
      <c r="K56" s="49" t="s">
        <v>1</v>
      </c>
      <c r="L56" s="49">
        <v>3</v>
      </c>
      <c r="M56" s="53">
        <v>0.44666666999999999</v>
      </c>
      <c r="N56" s="54">
        <v>4.1633320000000001E-2</v>
      </c>
    </row>
    <row r="57" spans="2:14" x14ac:dyDescent="0.25">
      <c r="B57" s="38" t="s">
        <v>0</v>
      </c>
      <c r="C57" s="25" t="s">
        <v>1</v>
      </c>
      <c r="D57" s="25">
        <v>3</v>
      </c>
      <c r="E57" s="40">
        <v>0.53</v>
      </c>
      <c r="F57" s="41">
        <v>6.5574389999999996E-2</v>
      </c>
      <c r="J57" s="48" t="s">
        <v>3</v>
      </c>
      <c r="K57" s="49" t="s">
        <v>58</v>
      </c>
      <c r="L57" s="49">
        <v>3</v>
      </c>
      <c r="M57" s="53">
        <v>0.49333333000000001</v>
      </c>
      <c r="N57" s="54">
        <v>1.5275250000000001E-2</v>
      </c>
    </row>
    <row r="58" spans="2:14" x14ac:dyDescent="0.25">
      <c r="B58" s="38" t="s">
        <v>3</v>
      </c>
      <c r="C58" s="25" t="s">
        <v>58</v>
      </c>
      <c r="D58" s="25">
        <v>3</v>
      </c>
      <c r="E58" s="40">
        <v>0.55666667000000003</v>
      </c>
      <c r="F58" s="41">
        <v>2.3094010000000002E-2</v>
      </c>
      <c r="J58" s="48" t="s">
        <v>3</v>
      </c>
      <c r="K58" s="49" t="s">
        <v>1</v>
      </c>
      <c r="L58" s="49">
        <v>3</v>
      </c>
      <c r="M58" s="53">
        <v>0.44333333000000003</v>
      </c>
      <c r="N58" s="54">
        <v>4.725816E-2</v>
      </c>
    </row>
    <row r="59" spans="2:14" x14ac:dyDescent="0.25">
      <c r="B59" s="38" t="s">
        <v>3</v>
      </c>
      <c r="C59" s="25" t="s">
        <v>1</v>
      </c>
      <c r="D59" s="25">
        <v>3</v>
      </c>
      <c r="E59" s="40">
        <v>0.5</v>
      </c>
      <c r="F59" s="41">
        <v>4.3588990000000001E-2</v>
      </c>
      <c r="J59" s="48" t="s">
        <v>4</v>
      </c>
      <c r="K59" s="49" t="s">
        <v>58</v>
      </c>
      <c r="L59" s="49">
        <v>3</v>
      </c>
      <c r="M59" s="53">
        <v>0.48666667000000002</v>
      </c>
      <c r="N59" s="54">
        <v>2.5166109999999998E-2</v>
      </c>
    </row>
    <row r="60" spans="2:14" x14ac:dyDescent="0.25">
      <c r="B60" s="38" t="s">
        <v>4</v>
      </c>
      <c r="C60" s="25" t="s">
        <v>58</v>
      </c>
      <c r="D60" s="25">
        <v>3</v>
      </c>
      <c r="E60" s="40">
        <v>0.49666666999999998</v>
      </c>
      <c r="F60" s="41">
        <v>3.785939E-2</v>
      </c>
      <c r="J60" s="48" t="s">
        <v>4</v>
      </c>
      <c r="K60" s="49" t="s">
        <v>1</v>
      </c>
      <c r="L60" s="49">
        <v>3</v>
      </c>
      <c r="M60" s="53">
        <v>0.45666667</v>
      </c>
      <c r="N60" s="54">
        <v>2.3094010000000002E-2</v>
      </c>
    </row>
    <row r="61" spans="2:14" x14ac:dyDescent="0.25">
      <c r="B61" s="38" t="s">
        <v>4</v>
      </c>
      <c r="C61" s="25" t="s">
        <v>1</v>
      </c>
      <c r="D61" s="25">
        <v>3</v>
      </c>
      <c r="E61" s="40">
        <v>0.48333333000000001</v>
      </c>
      <c r="F61" s="41">
        <v>1.154701E-2</v>
      </c>
      <c r="J61" s="48" t="s">
        <v>10</v>
      </c>
      <c r="K61" s="49" t="s">
        <v>58</v>
      </c>
      <c r="L61" s="49">
        <v>3</v>
      </c>
      <c r="M61" s="53">
        <v>0.48666667000000002</v>
      </c>
      <c r="N61" s="54">
        <v>1.154701E-2</v>
      </c>
    </row>
    <row r="62" spans="2:14" x14ac:dyDescent="0.25">
      <c r="B62" s="38" t="s">
        <v>10</v>
      </c>
      <c r="C62" s="25" t="s">
        <v>58</v>
      </c>
      <c r="D62" s="25">
        <v>3</v>
      </c>
      <c r="E62" s="40">
        <v>0.46666667000000001</v>
      </c>
      <c r="F62" s="41">
        <v>1.5275250000000001E-2</v>
      </c>
      <c r="J62" s="48" t="s">
        <v>10</v>
      </c>
      <c r="K62" s="49" t="s">
        <v>1</v>
      </c>
      <c r="L62" s="49">
        <v>3</v>
      </c>
      <c r="M62" s="53">
        <v>0.44666666999999999</v>
      </c>
      <c r="N62" s="54">
        <v>4.5092500000000001E-2</v>
      </c>
    </row>
    <row r="63" spans="2:14" x14ac:dyDescent="0.25">
      <c r="B63" s="38" t="s">
        <v>10</v>
      </c>
      <c r="C63" s="25" t="s">
        <v>1</v>
      </c>
      <c r="D63" s="25">
        <v>3</v>
      </c>
      <c r="E63" s="40">
        <v>0.45</v>
      </c>
      <c r="F63" s="41">
        <v>5.567764E-2</v>
      </c>
      <c r="J63" s="48" t="s">
        <v>13</v>
      </c>
      <c r="K63" s="49" t="s">
        <v>58</v>
      </c>
      <c r="L63" s="49">
        <v>3</v>
      </c>
      <c r="M63" s="53">
        <v>0.46666667000000001</v>
      </c>
      <c r="N63" s="54">
        <v>2.5166109999999998E-2</v>
      </c>
    </row>
    <row r="64" spans="2:14" x14ac:dyDescent="0.25">
      <c r="B64" s="38" t="s">
        <v>11</v>
      </c>
      <c r="C64" s="25" t="s">
        <v>58</v>
      </c>
      <c r="D64" s="25">
        <v>3</v>
      </c>
      <c r="E64" s="40">
        <v>0.26</v>
      </c>
      <c r="F64" s="41">
        <v>0.19974984000000001</v>
      </c>
      <c r="J64" s="48" t="s">
        <v>13</v>
      </c>
      <c r="K64" s="49" t="s">
        <v>1</v>
      </c>
      <c r="L64" s="49">
        <v>3</v>
      </c>
      <c r="M64" s="53">
        <v>0.46666667000000001</v>
      </c>
      <c r="N64" s="54">
        <v>2.0816660000000001E-2</v>
      </c>
    </row>
    <row r="65" spans="2:14" x14ac:dyDescent="0.25">
      <c r="B65" s="38" t="s">
        <v>11</v>
      </c>
      <c r="C65" s="25" t="s">
        <v>1</v>
      </c>
      <c r="D65" s="25">
        <v>3</v>
      </c>
      <c r="E65" s="40">
        <v>0.36666666999999997</v>
      </c>
      <c r="F65" s="41">
        <v>4.6188020000000003E-2</v>
      </c>
      <c r="J65" s="48" t="s">
        <v>11</v>
      </c>
      <c r="K65" s="49" t="s">
        <v>58</v>
      </c>
      <c r="L65" s="49">
        <v>3</v>
      </c>
      <c r="M65" s="53">
        <v>0.27333332999999999</v>
      </c>
      <c r="N65" s="54">
        <v>0.10214369</v>
      </c>
    </row>
    <row r="66" spans="2:14" x14ac:dyDescent="0.25">
      <c r="B66" s="38" t="s">
        <v>59</v>
      </c>
      <c r="C66" s="25" t="s">
        <v>58</v>
      </c>
      <c r="D66" s="25">
        <v>3</v>
      </c>
      <c r="E66" s="40">
        <v>0.46</v>
      </c>
      <c r="F66" s="41">
        <v>0.03</v>
      </c>
      <c r="J66" s="48" t="s">
        <v>11</v>
      </c>
      <c r="K66" s="49" t="s">
        <v>1</v>
      </c>
      <c r="L66" s="49">
        <v>3</v>
      </c>
      <c r="M66" s="53">
        <v>0.31666666999999998</v>
      </c>
      <c r="N66" s="54">
        <v>5.0332229999999999E-2</v>
      </c>
    </row>
    <row r="67" spans="2:14" x14ac:dyDescent="0.25">
      <c r="B67" s="38" t="s">
        <v>59</v>
      </c>
      <c r="C67" s="25" t="s">
        <v>1</v>
      </c>
      <c r="D67" s="25">
        <v>3</v>
      </c>
      <c r="E67" s="40">
        <v>0.37</v>
      </c>
      <c r="F67" s="41">
        <v>0.05</v>
      </c>
      <c r="J67" s="48" t="s">
        <v>59</v>
      </c>
      <c r="K67" s="49" t="s">
        <v>58</v>
      </c>
      <c r="L67" s="49">
        <v>3</v>
      </c>
      <c r="M67" s="53">
        <v>0.46333332999999999</v>
      </c>
      <c r="N67" s="54">
        <v>2.8867509999999999E-2</v>
      </c>
    </row>
    <row r="68" spans="2:14" x14ac:dyDescent="0.25">
      <c r="B68" s="38" t="s">
        <v>60</v>
      </c>
      <c r="C68" s="25" t="s">
        <v>58</v>
      </c>
      <c r="D68" s="25">
        <v>3</v>
      </c>
      <c r="E68" s="40">
        <v>0.46666667000000001</v>
      </c>
      <c r="F68" s="41">
        <v>4.1633320000000001E-2</v>
      </c>
      <c r="J68" s="48" t="s">
        <v>59</v>
      </c>
      <c r="K68" s="49" t="s">
        <v>1</v>
      </c>
      <c r="L68" s="49">
        <v>3</v>
      </c>
      <c r="M68" s="53">
        <v>0.37333333000000002</v>
      </c>
      <c r="N68" s="54">
        <v>2.8867509999999999E-2</v>
      </c>
    </row>
    <row r="69" spans="2:14" x14ac:dyDescent="0.25">
      <c r="B69" s="38" t="s">
        <v>60</v>
      </c>
      <c r="C69" s="25" t="s">
        <v>1</v>
      </c>
      <c r="D69" s="25">
        <v>3</v>
      </c>
      <c r="E69" s="40">
        <v>0.51</v>
      </c>
      <c r="F69" s="41">
        <v>0.02</v>
      </c>
      <c r="J69" s="48" t="s">
        <v>60</v>
      </c>
      <c r="K69" s="49" t="s">
        <v>58</v>
      </c>
      <c r="L69" s="49">
        <v>3</v>
      </c>
      <c r="M69" s="53">
        <v>0.44</v>
      </c>
      <c r="N69" s="54">
        <v>4.3588990000000001E-2</v>
      </c>
    </row>
    <row r="70" spans="2:14" x14ac:dyDescent="0.25">
      <c r="B70" s="38" t="s">
        <v>61</v>
      </c>
      <c r="C70" s="25" t="s">
        <v>58</v>
      </c>
      <c r="D70" s="25">
        <v>3</v>
      </c>
      <c r="E70" s="40">
        <v>0.44666666999999999</v>
      </c>
      <c r="F70" s="41">
        <v>5.0332229999999999E-2</v>
      </c>
      <c r="J70" s="48" t="s">
        <v>60</v>
      </c>
      <c r="K70" s="49" t="s">
        <v>1</v>
      </c>
      <c r="L70" s="49">
        <v>3</v>
      </c>
      <c r="M70" s="53">
        <v>0.47</v>
      </c>
      <c r="N70" s="54">
        <v>0.04</v>
      </c>
    </row>
    <row r="71" spans="2:14" ht="15.75" thickBot="1" x14ac:dyDescent="0.3">
      <c r="B71" s="42" t="s">
        <v>61</v>
      </c>
      <c r="C71" s="43" t="s">
        <v>1</v>
      </c>
      <c r="D71" s="43">
        <v>3</v>
      </c>
      <c r="E71" s="44">
        <v>0.5</v>
      </c>
      <c r="F71" s="45">
        <v>2.645751E-2</v>
      </c>
      <c r="J71" s="48" t="s">
        <v>62</v>
      </c>
      <c r="K71" s="49" t="s">
        <v>58</v>
      </c>
      <c r="L71" s="49">
        <v>3</v>
      </c>
      <c r="M71" s="53">
        <v>0.47333333</v>
      </c>
      <c r="N71" s="54">
        <v>2.3094010000000002E-2</v>
      </c>
    </row>
    <row r="72" spans="2:14" x14ac:dyDescent="0.25">
      <c r="J72" s="48" t="s">
        <v>62</v>
      </c>
      <c r="K72" s="49" t="s">
        <v>1</v>
      </c>
      <c r="L72" s="49">
        <v>3</v>
      </c>
      <c r="M72" s="53">
        <v>0.48666667000000002</v>
      </c>
      <c r="N72" s="54">
        <v>2.0816660000000001E-2</v>
      </c>
    </row>
    <row r="73" spans="2:14" x14ac:dyDescent="0.25">
      <c r="J73" s="48" t="s">
        <v>63</v>
      </c>
      <c r="K73" s="49" t="s">
        <v>58</v>
      </c>
      <c r="L73" s="49">
        <v>3</v>
      </c>
      <c r="M73" s="53">
        <v>0.48</v>
      </c>
      <c r="N73" s="54">
        <v>1.7320510000000001E-2</v>
      </c>
    </row>
    <row r="74" spans="2:14" x14ac:dyDescent="0.25">
      <c r="J74" s="48" t="s">
        <v>63</v>
      </c>
      <c r="K74" s="49" t="s">
        <v>1</v>
      </c>
      <c r="L74" s="49">
        <v>3</v>
      </c>
      <c r="M74" s="53">
        <v>0.41</v>
      </c>
      <c r="N74" s="54">
        <v>5.567764E-2</v>
      </c>
    </row>
    <row r="75" spans="2:14" x14ac:dyDescent="0.25">
      <c r="J75" s="48" t="s">
        <v>64</v>
      </c>
      <c r="K75" s="49" t="s">
        <v>58</v>
      </c>
      <c r="L75" s="49">
        <v>3</v>
      </c>
      <c r="M75" s="53">
        <v>0.43</v>
      </c>
      <c r="N75" s="54">
        <v>1.7320510000000001E-2</v>
      </c>
    </row>
    <row r="76" spans="2:14" x14ac:dyDescent="0.25">
      <c r="B76" s="18"/>
      <c r="C76" s="18"/>
      <c r="D76" s="205"/>
      <c r="E76" s="205"/>
      <c r="F76" s="205"/>
      <c r="J76" s="48" t="s">
        <v>64</v>
      </c>
      <c r="K76" s="49" t="s">
        <v>1</v>
      </c>
      <c r="L76" s="49">
        <v>3</v>
      </c>
      <c r="M76" s="53">
        <v>0.42333333000000001</v>
      </c>
      <c r="N76" s="54">
        <v>2.5166109999999998E-2</v>
      </c>
    </row>
    <row r="77" spans="2:14" x14ac:dyDescent="0.25">
      <c r="B77" s="18"/>
      <c r="C77" s="18"/>
      <c r="D77" s="205"/>
      <c r="E77" s="18"/>
      <c r="F77" s="18"/>
      <c r="J77" s="48" t="s">
        <v>61</v>
      </c>
      <c r="K77" s="49" t="s">
        <v>58</v>
      </c>
      <c r="L77" s="49">
        <v>3</v>
      </c>
      <c r="M77" s="53">
        <v>0.45666667</v>
      </c>
      <c r="N77" s="54">
        <v>1.5275250000000001E-2</v>
      </c>
    </row>
    <row r="78" spans="2:14" ht="15.75" thickBot="1" x14ac:dyDescent="0.3">
      <c r="B78" s="18"/>
      <c r="C78" s="18"/>
      <c r="D78" s="18"/>
      <c r="E78" s="19"/>
      <c r="F78" s="19"/>
      <c r="J78" s="51" t="s">
        <v>61</v>
      </c>
      <c r="K78" s="52" t="s">
        <v>1</v>
      </c>
      <c r="L78" s="52">
        <v>3</v>
      </c>
      <c r="M78" s="55">
        <v>0.44333333000000003</v>
      </c>
      <c r="N78" s="56">
        <v>3.21455E-2</v>
      </c>
    </row>
    <row r="79" spans="2:14" x14ac:dyDescent="0.25">
      <c r="B79" s="18"/>
      <c r="C79" s="18"/>
      <c r="D79" s="18"/>
      <c r="E79" s="19"/>
      <c r="F79" s="19"/>
    </row>
    <row r="80" spans="2:14" x14ac:dyDescent="0.25">
      <c r="B80" s="18"/>
      <c r="C80" s="18"/>
      <c r="D80" s="18"/>
      <c r="E80" s="19"/>
      <c r="F80" s="19"/>
    </row>
    <row r="81" spans="2:6" x14ac:dyDescent="0.25">
      <c r="B81" s="18"/>
      <c r="C81" s="18"/>
      <c r="D81" s="18"/>
      <c r="E81" s="19"/>
      <c r="F81" s="19"/>
    </row>
    <row r="82" spans="2:6" x14ac:dyDescent="0.25">
      <c r="B82" s="18"/>
      <c r="C82" s="18"/>
      <c r="D82" s="18"/>
      <c r="E82" s="19"/>
      <c r="F82" s="19"/>
    </row>
    <row r="83" spans="2:6" x14ac:dyDescent="0.25">
      <c r="B83" s="18"/>
      <c r="C83" s="18"/>
      <c r="D83" s="18"/>
      <c r="E83" s="19"/>
      <c r="F83" s="19"/>
    </row>
    <row r="84" spans="2:6" x14ac:dyDescent="0.25">
      <c r="B84" s="18"/>
      <c r="C84" s="18"/>
      <c r="D84" s="18"/>
      <c r="E84" s="19"/>
      <c r="F84" s="19"/>
    </row>
    <row r="85" spans="2:6" x14ac:dyDescent="0.25">
      <c r="B85" s="18"/>
      <c r="C85" s="18"/>
      <c r="D85" s="18"/>
      <c r="E85" s="19"/>
      <c r="F85" s="19"/>
    </row>
    <row r="86" spans="2:6" x14ac:dyDescent="0.25">
      <c r="B86" s="18"/>
      <c r="C86" s="18"/>
      <c r="D86" s="18"/>
      <c r="E86" s="19"/>
      <c r="F86" s="19"/>
    </row>
    <row r="87" spans="2:6" x14ac:dyDescent="0.25">
      <c r="B87" s="18"/>
      <c r="C87" s="18"/>
      <c r="D87" s="18"/>
      <c r="E87" s="19"/>
      <c r="F87" s="19"/>
    </row>
    <row r="88" spans="2:6" x14ac:dyDescent="0.25">
      <c r="B88" s="18"/>
      <c r="C88" s="18"/>
      <c r="D88" s="18"/>
      <c r="E88" s="19"/>
      <c r="F88" s="19"/>
    </row>
    <row r="89" spans="2:6" x14ac:dyDescent="0.25">
      <c r="B89" s="18"/>
      <c r="C89" s="18"/>
      <c r="D89" s="18"/>
      <c r="E89" s="19"/>
      <c r="F89" s="19"/>
    </row>
    <row r="90" spans="2:6" x14ac:dyDescent="0.25">
      <c r="B90" s="18"/>
      <c r="C90" s="18"/>
      <c r="D90" s="18"/>
      <c r="E90" s="19"/>
      <c r="F90" s="19"/>
    </row>
    <row r="91" spans="2:6" x14ac:dyDescent="0.25">
      <c r="B91" s="18"/>
      <c r="C91" s="18"/>
      <c r="D91" s="18"/>
      <c r="E91" s="19"/>
      <c r="F91" s="19"/>
    </row>
    <row r="92" spans="2:6" x14ac:dyDescent="0.25">
      <c r="B92" s="18"/>
      <c r="C92" s="18"/>
      <c r="D92" s="18"/>
      <c r="E92" s="19"/>
      <c r="F92" s="19"/>
    </row>
    <row r="93" spans="2:6" x14ac:dyDescent="0.25">
      <c r="B93" s="18"/>
      <c r="C93" s="18"/>
      <c r="D93" s="18"/>
      <c r="E93" s="19"/>
      <c r="F93" s="19"/>
    </row>
  </sheetData>
  <mergeCells count="6">
    <mergeCell ref="M53:N53"/>
    <mergeCell ref="D76:D77"/>
    <mergeCell ref="E76:F76"/>
    <mergeCell ref="D54:D55"/>
    <mergeCell ref="E54:F54"/>
    <mergeCell ref="L53:L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5CB7-1AE0-445E-A3D1-89166DC7AC37}">
  <dimension ref="A1:AY100"/>
  <sheetViews>
    <sheetView topLeftCell="A37" zoomScale="66" zoomScaleNormal="66" workbookViewId="0">
      <selection activeCell="R75" sqref="R75"/>
    </sheetView>
  </sheetViews>
  <sheetFormatPr defaultRowHeight="15" x14ac:dyDescent="0.25"/>
  <cols>
    <col min="2" max="2" width="9.42578125" bestFit="1" customWidth="1"/>
    <col min="3" max="5" width="10.7109375" bestFit="1" customWidth="1"/>
    <col min="6" max="6" width="10.5703125" bestFit="1" customWidth="1"/>
    <col min="7" max="10" width="10.7109375" bestFit="1" customWidth="1"/>
    <col min="11" max="11" width="9.28515625" customWidth="1"/>
    <col min="12" max="12" width="9.42578125" bestFit="1" customWidth="1"/>
    <col min="13" max="13" width="12.42578125" customWidth="1"/>
    <col min="14" max="14" width="10.5703125" bestFit="1" customWidth="1"/>
    <col min="15" max="16" width="10.7109375" bestFit="1" customWidth="1"/>
    <col min="17" max="17" width="10.5703125" bestFit="1" customWidth="1"/>
    <col min="18" max="20" width="10.7109375" bestFit="1" customWidth="1"/>
    <col min="21" max="21" width="20.7109375" customWidth="1"/>
    <col min="22" max="23" width="10.7109375" bestFit="1" customWidth="1"/>
    <col min="24" max="30" width="10.85546875" bestFit="1" customWidth="1"/>
    <col min="31" max="31" width="10.5703125" bestFit="1" customWidth="1"/>
    <col min="32" max="34" width="10.7109375" bestFit="1" customWidth="1"/>
    <col min="35" max="35" width="10.5703125" bestFit="1" customWidth="1"/>
    <col min="36" max="38" width="10.7109375" bestFit="1" customWidth="1"/>
    <col min="39" max="51" width="10.5703125" bestFit="1" customWidth="1"/>
  </cols>
  <sheetData>
    <row r="1" spans="1:51" ht="15.75" thickBot="1" x14ac:dyDescent="0.3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</row>
    <row r="2" spans="1:51" ht="27" customHeight="1" x14ac:dyDescent="0.25">
      <c r="A2" s="188"/>
      <c r="B2" s="73" t="s">
        <v>43</v>
      </c>
      <c r="C2" s="70" t="s">
        <v>75</v>
      </c>
      <c r="D2" s="70" t="s">
        <v>76</v>
      </c>
      <c r="E2" s="70" t="s">
        <v>77</v>
      </c>
      <c r="F2" s="70" t="s">
        <v>50</v>
      </c>
      <c r="G2" s="85" t="s">
        <v>29</v>
      </c>
      <c r="H2" s="86" t="s">
        <v>30</v>
      </c>
      <c r="I2" s="86" t="s">
        <v>31</v>
      </c>
      <c r="J2" s="86" t="s">
        <v>81</v>
      </c>
      <c r="K2" s="86" t="s">
        <v>82</v>
      </c>
      <c r="L2" s="86" t="s">
        <v>83</v>
      </c>
      <c r="M2" s="86" t="s">
        <v>32</v>
      </c>
      <c r="N2" s="86" t="s">
        <v>84</v>
      </c>
      <c r="O2" s="86" t="s">
        <v>36</v>
      </c>
      <c r="P2" s="87" t="s">
        <v>85</v>
      </c>
      <c r="U2" s="36" t="s">
        <v>55</v>
      </c>
      <c r="V2" s="37" t="s">
        <v>55</v>
      </c>
      <c r="W2" s="206" t="s">
        <v>56</v>
      </c>
      <c r="X2" s="206" t="s">
        <v>75</v>
      </c>
      <c r="Y2" s="206"/>
      <c r="Z2" s="206" t="s">
        <v>78</v>
      </c>
      <c r="AA2" s="206"/>
      <c r="AB2" s="206" t="s">
        <v>79</v>
      </c>
      <c r="AC2" s="206"/>
      <c r="AD2" s="206" t="s">
        <v>80</v>
      </c>
      <c r="AE2" s="206"/>
      <c r="AF2" s="206" t="s">
        <v>84</v>
      </c>
      <c r="AG2" s="206"/>
      <c r="AH2" s="206" t="s">
        <v>36</v>
      </c>
      <c r="AI2" s="206"/>
      <c r="AJ2" s="206" t="s">
        <v>29</v>
      </c>
      <c r="AK2" s="206"/>
      <c r="AL2" s="206" t="s">
        <v>30</v>
      </c>
      <c r="AM2" s="206"/>
      <c r="AN2" s="206" t="s">
        <v>31</v>
      </c>
      <c r="AO2" s="206"/>
      <c r="AP2" s="206" t="s">
        <v>33</v>
      </c>
      <c r="AQ2" s="206"/>
      <c r="AR2" s="206" t="s">
        <v>82</v>
      </c>
      <c r="AS2" s="206"/>
      <c r="AT2" s="206" t="s">
        <v>83</v>
      </c>
      <c r="AU2" s="206"/>
      <c r="AV2" s="206" t="s">
        <v>32</v>
      </c>
      <c r="AW2" s="206"/>
      <c r="AX2" s="206" t="s">
        <v>85</v>
      </c>
      <c r="AY2" s="208"/>
    </row>
    <row r="3" spans="1:51" x14ac:dyDescent="0.25">
      <c r="A3" s="188"/>
      <c r="B3" s="74" t="s">
        <v>73</v>
      </c>
      <c r="C3" s="75" t="s">
        <v>54</v>
      </c>
      <c r="D3" s="76" t="s">
        <v>54</v>
      </c>
      <c r="E3" s="76" t="s">
        <v>54</v>
      </c>
      <c r="F3" s="76" t="s">
        <v>54</v>
      </c>
      <c r="G3" s="88">
        <v>2.3099999999999999E-2</v>
      </c>
      <c r="H3" s="76">
        <v>2.9399999999999999E-2</v>
      </c>
      <c r="I3" s="76" t="s">
        <v>54</v>
      </c>
      <c r="J3" s="76">
        <v>6.9999999999999999E-4</v>
      </c>
      <c r="K3" s="76" t="s">
        <v>54</v>
      </c>
      <c r="L3" s="76" t="s">
        <v>54</v>
      </c>
      <c r="M3" s="76" t="s">
        <v>54</v>
      </c>
      <c r="N3" s="76" t="s">
        <v>54</v>
      </c>
      <c r="O3" s="76" t="s">
        <v>54</v>
      </c>
      <c r="P3" s="89" t="s">
        <v>54</v>
      </c>
      <c r="U3" s="38" t="s">
        <v>73</v>
      </c>
      <c r="V3" s="25" t="s">
        <v>45</v>
      </c>
      <c r="W3" s="207"/>
      <c r="X3" s="79" t="s">
        <v>52</v>
      </c>
      <c r="Y3" s="79" t="s">
        <v>57</v>
      </c>
      <c r="Z3" s="79" t="s">
        <v>52</v>
      </c>
      <c r="AA3" s="79" t="s">
        <v>57</v>
      </c>
      <c r="AB3" s="79" t="s">
        <v>52</v>
      </c>
      <c r="AC3" s="79" t="s">
        <v>57</v>
      </c>
      <c r="AD3" s="79" t="s">
        <v>52</v>
      </c>
      <c r="AE3" s="79" t="s">
        <v>57</v>
      </c>
      <c r="AF3" s="79" t="s">
        <v>52</v>
      </c>
      <c r="AG3" s="79" t="s">
        <v>57</v>
      </c>
      <c r="AH3" s="79" t="s">
        <v>52</v>
      </c>
      <c r="AI3" s="79" t="s">
        <v>57</v>
      </c>
      <c r="AJ3" s="79" t="s">
        <v>52</v>
      </c>
      <c r="AK3" s="79" t="s">
        <v>57</v>
      </c>
      <c r="AL3" s="79" t="s">
        <v>52</v>
      </c>
      <c r="AM3" s="79" t="s">
        <v>57</v>
      </c>
      <c r="AN3" s="79" t="s">
        <v>52</v>
      </c>
      <c r="AO3" s="79" t="s">
        <v>57</v>
      </c>
      <c r="AP3" s="79" t="s">
        <v>52</v>
      </c>
      <c r="AQ3" s="79" t="s">
        <v>57</v>
      </c>
      <c r="AR3" s="79" t="s">
        <v>52</v>
      </c>
      <c r="AS3" s="79" t="s">
        <v>57</v>
      </c>
      <c r="AT3" s="79" t="s">
        <v>52</v>
      </c>
      <c r="AU3" s="79" t="s">
        <v>57</v>
      </c>
      <c r="AV3" s="79" t="s">
        <v>52</v>
      </c>
      <c r="AW3" s="79" t="s">
        <v>57</v>
      </c>
      <c r="AX3" s="79" t="s">
        <v>52</v>
      </c>
      <c r="AY3" s="80" t="s">
        <v>57</v>
      </c>
    </row>
    <row r="4" spans="1:51" x14ac:dyDescent="0.25">
      <c r="A4" s="188"/>
      <c r="B4" s="74" t="s">
        <v>45</v>
      </c>
      <c r="C4" s="75" t="s">
        <v>54</v>
      </c>
      <c r="D4" s="76" t="s">
        <v>54</v>
      </c>
      <c r="E4" s="76" t="s">
        <v>54</v>
      </c>
      <c r="F4" s="76">
        <v>2.06E-2</v>
      </c>
      <c r="G4" s="88">
        <v>1.1599999999999999E-2</v>
      </c>
      <c r="H4" s="76">
        <v>0.1646</v>
      </c>
      <c r="I4" s="76" t="s">
        <v>54</v>
      </c>
      <c r="J4" s="76">
        <v>0.52390000000000003</v>
      </c>
      <c r="K4" s="76" t="s">
        <v>54</v>
      </c>
      <c r="L4" s="76" t="s">
        <v>54</v>
      </c>
      <c r="M4" s="76" t="s">
        <v>54</v>
      </c>
      <c r="N4" s="76">
        <v>2.2000000000000001E-3</v>
      </c>
      <c r="O4" s="76" t="s">
        <v>54</v>
      </c>
      <c r="P4" s="89">
        <v>6.9999999999999999E-4</v>
      </c>
      <c r="U4" s="38" t="s">
        <v>0</v>
      </c>
      <c r="V4" s="25" t="s">
        <v>58</v>
      </c>
      <c r="W4" s="25">
        <v>3</v>
      </c>
      <c r="X4" s="40">
        <v>287</v>
      </c>
      <c r="Y4" s="40">
        <v>0</v>
      </c>
      <c r="Z4" s="40">
        <v>8363.1838100000004</v>
      </c>
      <c r="AA4" s="40">
        <v>563.64928999999995</v>
      </c>
      <c r="AB4" s="40">
        <v>4122.9029899999996</v>
      </c>
      <c r="AC4" s="40">
        <v>366.10305299999999</v>
      </c>
      <c r="AD4" s="40">
        <v>0.49298428999999999</v>
      </c>
      <c r="AE4" s="40">
        <v>2.9552350000000002E-2</v>
      </c>
      <c r="AF4" s="40">
        <v>0.49338009999999999</v>
      </c>
      <c r="AG4" s="40">
        <v>3.3675509999999999E-2</v>
      </c>
      <c r="AH4" s="40">
        <v>4130.8081000000002</v>
      </c>
      <c r="AI4" s="40">
        <v>460.62172500000003</v>
      </c>
      <c r="AJ4" s="40">
        <v>4.2977930000000004</v>
      </c>
      <c r="AK4" s="40">
        <v>7.4439960000000003</v>
      </c>
      <c r="AL4" s="40">
        <v>0</v>
      </c>
      <c r="AM4" s="40">
        <v>0</v>
      </c>
      <c r="AN4" s="40">
        <v>1982.6299799999999</v>
      </c>
      <c r="AO4" s="40">
        <v>329.84094900000002</v>
      </c>
      <c r="AP4" s="40">
        <v>0.46142780999999999</v>
      </c>
      <c r="AQ4" s="40">
        <v>0.13671063</v>
      </c>
      <c r="AR4" s="40">
        <v>3807.9960500000002</v>
      </c>
      <c r="AS4" s="40">
        <v>927.10460999999998</v>
      </c>
      <c r="AT4" s="40">
        <v>77.977999999999994</v>
      </c>
      <c r="AU4" s="40">
        <v>0.254</v>
      </c>
      <c r="AV4" s="40">
        <v>6376.2560400000002</v>
      </c>
      <c r="AW4" s="40">
        <v>595.67259000000001</v>
      </c>
      <c r="AX4" s="40">
        <v>17.399999999999999</v>
      </c>
      <c r="AY4" s="41">
        <v>0.69282032000000005</v>
      </c>
    </row>
    <row r="5" spans="1:51" x14ac:dyDescent="0.25">
      <c r="A5" s="188"/>
      <c r="B5" s="74" t="s">
        <v>44</v>
      </c>
      <c r="C5" s="75">
        <v>4.6399999999999997E-2</v>
      </c>
      <c r="D5" s="76">
        <v>0.21049999999999999</v>
      </c>
      <c r="E5" s="76">
        <v>0.1152</v>
      </c>
      <c r="F5" s="76">
        <v>0.214</v>
      </c>
      <c r="G5" s="88">
        <v>0.43059999999999998</v>
      </c>
      <c r="H5" s="76">
        <v>0.48670000000000002</v>
      </c>
      <c r="I5" s="76">
        <v>0.70369999999999999</v>
      </c>
      <c r="J5" s="76">
        <v>0.60189999999999999</v>
      </c>
      <c r="K5" s="76">
        <v>0.2135</v>
      </c>
      <c r="L5" s="76">
        <v>0.44800000000000001</v>
      </c>
      <c r="M5" s="76">
        <v>4.3099999999999999E-2</v>
      </c>
      <c r="N5" s="76">
        <v>0.2359</v>
      </c>
      <c r="O5" s="76">
        <v>0.24579999999999999</v>
      </c>
      <c r="P5" s="89">
        <v>9.9900000000000003E-2</v>
      </c>
      <c r="U5" s="38" t="s">
        <v>0</v>
      </c>
      <c r="V5" s="25" t="s">
        <v>1</v>
      </c>
      <c r="W5" s="25">
        <v>3</v>
      </c>
      <c r="X5" s="40">
        <v>282.66666700000002</v>
      </c>
      <c r="Y5" s="40">
        <v>2.3094010800000002</v>
      </c>
      <c r="Z5" s="40">
        <v>3429.37637</v>
      </c>
      <c r="AA5" s="40">
        <v>420.97381000000001</v>
      </c>
      <c r="AB5" s="40">
        <v>1528.08169</v>
      </c>
      <c r="AC5" s="40">
        <v>103.567131</v>
      </c>
      <c r="AD5" s="40">
        <v>0.44849894000000001</v>
      </c>
      <c r="AE5" s="40">
        <v>4.0514790000000002E-2</v>
      </c>
      <c r="AF5" s="40">
        <v>0.43329404999999999</v>
      </c>
      <c r="AG5" s="40">
        <v>3.2356120000000002E-2</v>
      </c>
      <c r="AH5" s="40">
        <v>1479.15039</v>
      </c>
      <c r="AI5" s="40">
        <v>130.22574700000001</v>
      </c>
      <c r="AJ5" s="40">
        <v>0</v>
      </c>
      <c r="AK5" s="40">
        <v>0</v>
      </c>
      <c r="AL5" s="40">
        <v>26.380621999999999</v>
      </c>
      <c r="AM5" s="40">
        <v>45.692577</v>
      </c>
      <c r="AN5" s="40">
        <v>718.87786000000006</v>
      </c>
      <c r="AO5" s="40">
        <v>253.20813000000001</v>
      </c>
      <c r="AP5" s="40">
        <v>0.52815951000000005</v>
      </c>
      <c r="AQ5" s="40">
        <v>6.2849059999999998E-2</v>
      </c>
      <c r="AR5" s="40">
        <v>1793.8445400000001</v>
      </c>
      <c r="AS5" s="40">
        <v>49.271279999999997</v>
      </c>
      <c r="AT5" s="40">
        <v>47.328666699999999</v>
      </c>
      <c r="AU5" s="40">
        <v>4.6094760399999997</v>
      </c>
      <c r="AV5" s="40">
        <v>2684.1178799999998</v>
      </c>
      <c r="AW5" s="40">
        <v>210.22344000000001</v>
      </c>
      <c r="AX5" s="40">
        <v>14</v>
      </c>
      <c r="AY5" s="41">
        <v>1</v>
      </c>
    </row>
    <row r="6" spans="1:51" x14ac:dyDescent="0.25">
      <c r="A6" s="188"/>
      <c r="B6" s="74" t="s">
        <v>74</v>
      </c>
      <c r="C6" s="75" t="s">
        <v>54</v>
      </c>
      <c r="D6" s="76">
        <v>9.1899999999999996E-2</v>
      </c>
      <c r="E6" s="76">
        <v>5.1000000000000004E-3</v>
      </c>
      <c r="F6" s="76">
        <v>9.2799999999999994E-2</v>
      </c>
      <c r="G6" s="88">
        <v>2.3099999999999999E-2</v>
      </c>
      <c r="H6" s="76">
        <v>1.04E-2</v>
      </c>
      <c r="I6" s="76">
        <v>1.83E-2</v>
      </c>
      <c r="J6" s="76">
        <v>0.29339999999999999</v>
      </c>
      <c r="K6" s="76">
        <v>3.4500000000000003E-2</v>
      </c>
      <c r="L6" s="76" t="s">
        <v>54</v>
      </c>
      <c r="M6" s="76">
        <v>2.5999999999999999E-2</v>
      </c>
      <c r="N6" s="76">
        <v>0.29239999999999999</v>
      </c>
      <c r="O6" s="76">
        <v>2.2000000000000001E-3</v>
      </c>
      <c r="P6" s="89">
        <v>6.7799999999999999E-2</v>
      </c>
      <c r="U6" s="38" t="s">
        <v>3</v>
      </c>
      <c r="V6" s="25" t="s">
        <v>58</v>
      </c>
      <c r="W6" s="25">
        <v>3</v>
      </c>
      <c r="X6" s="40">
        <v>290</v>
      </c>
      <c r="Y6" s="40">
        <v>0</v>
      </c>
      <c r="Z6" s="40">
        <v>9832.9139300000006</v>
      </c>
      <c r="AA6" s="40">
        <v>957.07034999999996</v>
      </c>
      <c r="AB6" s="40">
        <v>4861.2326800000001</v>
      </c>
      <c r="AC6" s="40">
        <v>613.62984300000005</v>
      </c>
      <c r="AD6" s="40">
        <v>0.49348902</v>
      </c>
      <c r="AE6" s="40">
        <v>1.3819700000000001E-2</v>
      </c>
      <c r="AF6" s="40">
        <v>0.48323851000000001</v>
      </c>
      <c r="AG6" s="40">
        <v>1.293566E-2</v>
      </c>
      <c r="AH6" s="40">
        <v>4759.60034</v>
      </c>
      <c r="AI6" s="40">
        <v>592.87237800000003</v>
      </c>
      <c r="AJ6" s="40">
        <v>4.8723140000000003</v>
      </c>
      <c r="AK6" s="40">
        <v>8.4390959999999993</v>
      </c>
      <c r="AL6" s="40">
        <v>0</v>
      </c>
      <c r="AM6" s="40">
        <v>0</v>
      </c>
      <c r="AN6" s="40">
        <v>2481.5845899999999</v>
      </c>
      <c r="AO6" s="40">
        <v>250.42319800000001</v>
      </c>
      <c r="AP6" s="40">
        <v>0.55743944000000001</v>
      </c>
      <c r="AQ6" s="40">
        <v>2.7683099999999999E-2</v>
      </c>
      <c r="AR6" s="40">
        <v>5492.6766500000003</v>
      </c>
      <c r="AS6" s="40">
        <v>735.87527</v>
      </c>
      <c r="AT6" s="40">
        <v>93.302666700000003</v>
      </c>
      <c r="AU6" s="40">
        <v>1.92325696</v>
      </c>
      <c r="AV6" s="40">
        <v>7346.4570299999996</v>
      </c>
      <c r="AW6" s="40">
        <v>920.17916000000002</v>
      </c>
      <c r="AX6" s="40">
        <v>19.466666700000001</v>
      </c>
      <c r="AY6" s="41">
        <v>1.62890556</v>
      </c>
    </row>
    <row r="7" spans="1:51" x14ac:dyDescent="0.25">
      <c r="A7" s="188"/>
      <c r="B7" s="77" t="s">
        <v>86</v>
      </c>
      <c r="C7" s="78">
        <v>0.27893000000000001</v>
      </c>
      <c r="D7" s="78">
        <v>16.189430000000002</v>
      </c>
      <c r="E7" s="78">
        <v>18.765329999999999</v>
      </c>
      <c r="F7" s="78">
        <v>8.3085470000000008</v>
      </c>
      <c r="G7" s="90">
        <v>257.54450000000003</v>
      </c>
      <c r="H7" s="78">
        <v>171.48949999999999</v>
      </c>
      <c r="I7" s="78">
        <v>19.760110000000001</v>
      </c>
      <c r="J7" s="78">
        <v>15.843159999999999</v>
      </c>
      <c r="K7" s="78">
        <v>25.204910000000002</v>
      </c>
      <c r="L7" s="78">
        <v>7.3265419999999999</v>
      </c>
      <c r="M7" s="78">
        <v>20.011749999999999</v>
      </c>
      <c r="N7" s="78">
        <v>8.5320879999999999</v>
      </c>
      <c r="O7" s="78">
        <v>17.532969999999999</v>
      </c>
      <c r="P7" s="91">
        <v>9.6052309999999999</v>
      </c>
      <c r="U7" s="38" t="s">
        <v>3</v>
      </c>
      <c r="V7" s="25" t="s">
        <v>1</v>
      </c>
      <c r="W7" s="25">
        <v>3</v>
      </c>
      <c r="X7" s="40">
        <v>274</v>
      </c>
      <c r="Y7" s="40">
        <v>0</v>
      </c>
      <c r="Z7" s="40">
        <v>3667.5237099999999</v>
      </c>
      <c r="AA7" s="40">
        <v>501.72951999999998</v>
      </c>
      <c r="AB7" s="40">
        <v>1627.46171</v>
      </c>
      <c r="AC7" s="40">
        <v>173.57915499999999</v>
      </c>
      <c r="AD7" s="40">
        <v>0.44655489999999998</v>
      </c>
      <c r="AE7" s="40">
        <v>4.6694380000000001E-2</v>
      </c>
      <c r="AF7" s="40">
        <v>0.43646719</v>
      </c>
      <c r="AG7" s="40">
        <v>4.5497870000000003E-2</v>
      </c>
      <c r="AH7" s="40">
        <v>1591.1919499999999</v>
      </c>
      <c r="AI7" s="40">
        <v>175.49816999999999</v>
      </c>
      <c r="AJ7" s="40">
        <v>0</v>
      </c>
      <c r="AK7" s="40">
        <v>0</v>
      </c>
      <c r="AL7" s="40">
        <v>58.273556999999997</v>
      </c>
      <c r="AM7" s="40">
        <v>85.073268999999996</v>
      </c>
      <c r="AN7" s="40">
        <v>874.4171</v>
      </c>
      <c r="AO7" s="40">
        <v>251.308559</v>
      </c>
      <c r="AP7" s="40">
        <v>0.50008030000000003</v>
      </c>
      <c r="AQ7" s="40">
        <v>4.2757620000000003E-2</v>
      </c>
      <c r="AR7" s="40">
        <v>1823.1041600000001</v>
      </c>
      <c r="AS7" s="40">
        <v>167.64758</v>
      </c>
      <c r="AT7" s="40">
        <v>54.381399999999999</v>
      </c>
      <c r="AU7" s="40">
        <v>3.3372739</v>
      </c>
      <c r="AV7" s="40">
        <v>2734.8330500000002</v>
      </c>
      <c r="AW7" s="40">
        <v>293.31887999999998</v>
      </c>
      <c r="AX7" s="40">
        <v>15.3333333</v>
      </c>
      <c r="AY7" s="41">
        <v>1.20554275</v>
      </c>
    </row>
    <row r="8" spans="1:51" ht="15.75" thickBot="1" x14ac:dyDescent="0.3">
      <c r="A8" s="188"/>
      <c r="B8" s="77" t="s">
        <v>87</v>
      </c>
      <c r="C8" s="78">
        <v>279.70830000000001</v>
      </c>
      <c r="D8" s="78">
        <v>5576.0789999999997</v>
      </c>
      <c r="E8" s="78">
        <v>2521.502</v>
      </c>
      <c r="F8" s="78">
        <v>0.44281999999999999</v>
      </c>
      <c r="G8" s="92">
        <v>29.616209999999999</v>
      </c>
      <c r="H8" s="93">
        <v>32.851770000000002</v>
      </c>
      <c r="I8" s="93">
        <v>1538.616</v>
      </c>
      <c r="J8" s="93">
        <v>0.457978</v>
      </c>
      <c r="K8" s="93">
        <v>2489.962</v>
      </c>
      <c r="L8" s="93">
        <v>64.274169999999998</v>
      </c>
      <c r="M8" s="93">
        <v>3665.4949999999999</v>
      </c>
      <c r="N8" s="93">
        <v>0.438884</v>
      </c>
      <c r="O8" s="93">
        <v>2539.9259999999999</v>
      </c>
      <c r="P8" s="94">
        <v>16.263829999999999</v>
      </c>
      <c r="U8" s="38" t="s">
        <v>4</v>
      </c>
      <c r="V8" s="25" t="s">
        <v>58</v>
      </c>
      <c r="W8" s="25">
        <v>3</v>
      </c>
      <c r="X8" s="40">
        <v>290</v>
      </c>
      <c r="Y8" s="40">
        <v>0</v>
      </c>
      <c r="Z8" s="40">
        <v>7677.9175800000003</v>
      </c>
      <c r="AA8" s="40">
        <v>823.16772000000003</v>
      </c>
      <c r="AB8" s="40">
        <v>3739.24143</v>
      </c>
      <c r="AC8" s="40">
        <v>571.15483500000005</v>
      </c>
      <c r="AD8" s="40">
        <v>0.48549983000000002</v>
      </c>
      <c r="AE8" s="40">
        <v>2.3326360000000001E-2</v>
      </c>
      <c r="AF8" s="40">
        <v>0.48281497000000001</v>
      </c>
      <c r="AG8" s="40">
        <v>2.5905649999999999E-2</v>
      </c>
      <c r="AH8" s="40">
        <v>3720.9814999999999</v>
      </c>
      <c r="AI8" s="40">
        <v>601.80909899999995</v>
      </c>
      <c r="AJ8" s="40">
        <v>4.658309</v>
      </c>
      <c r="AK8" s="40">
        <v>8.0684269999999998</v>
      </c>
      <c r="AL8" s="40">
        <v>32.761108</v>
      </c>
      <c r="AM8" s="40">
        <v>35.412717000000001</v>
      </c>
      <c r="AN8" s="40">
        <v>2400.71585</v>
      </c>
      <c r="AO8" s="40">
        <v>269.08644399999997</v>
      </c>
      <c r="AP8" s="40">
        <v>0.49818367000000002</v>
      </c>
      <c r="AQ8" s="40">
        <v>3.4355579999999997E-2</v>
      </c>
      <c r="AR8" s="40">
        <v>3821.7588700000001</v>
      </c>
      <c r="AS8" s="40">
        <v>431.49590000000001</v>
      </c>
      <c r="AT8" s="40">
        <v>66.040000000000006</v>
      </c>
      <c r="AU8" s="40">
        <v>6.4807342200000004</v>
      </c>
      <c r="AV8" s="40">
        <v>5239.7823099999996</v>
      </c>
      <c r="AW8" s="40">
        <v>686.57105999999999</v>
      </c>
      <c r="AX8" s="40">
        <v>14.1333333</v>
      </c>
      <c r="AY8" s="41">
        <v>0.30550505</v>
      </c>
    </row>
    <row r="9" spans="1:51" x14ac:dyDescent="0.25">
      <c r="U9" s="38" t="s">
        <v>4</v>
      </c>
      <c r="V9" s="25" t="s">
        <v>1</v>
      </c>
      <c r="W9" s="25">
        <v>3</v>
      </c>
      <c r="X9" s="40">
        <v>282.66666700000002</v>
      </c>
      <c r="Y9" s="40">
        <v>2.3094010800000002</v>
      </c>
      <c r="Z9" s="40">
        <v>3270.0036500000001</v>
      </c>
      <c r="AA9" s="40">
        <v>172.73606000000001</v>
      </c>
      <c r="AB9" s="40">
        <v>1494.34719</v>
      </c>
      <c r="AC9" s="40">
        <v>153.571236</v>
      </c>
      <c r="AD9" s="40">
        <v>0.45617356999999997</v>
      </c>
      <c r="AE9" s="40">
        <v>2.3840529999999999E-2</v>
      </c>
      <c r="AF9" s="40">
        <v>0.44986841</v>
      </c>
      <c r="AG9" s="40">
        <v>2.499958E-2</v>
      </c>
      <c r="AH9" s="40">
        <v>1473.87698</v>
      </c>
      <c r="AI9" s="40">
        <v>156.47008400000001</v>
      </c>
      <c r="AJ9" s="40">
        <v>0</v>
      </c>
      <c r="AK9" s="40">
        <v>0</v>
      </c>
      <c r="AL9" s="40">
        <v>40.095354999999998</v>
      </c>
      <c r="AM9" s="40">
        <v>35.210988</v>
      </c>
      <c r="AN9" s="40">
        <v>847.38025000000005</v>
      </c>
      <c r="AO9" s="40">
        <v>39.232218000000003</v>
      </c>
      <c r="AP9" s="40">
        <v>0.48331362</v>
      </c>
      <c r="AQ9" s="40">
        <v>1.3224400000000001E-2</v>
      </c>
      <c r="AR9" s="40">
        <v>1581.82285</v>
      </c>
      <c r="AS9" s="40">
        <v>122.93293</v>
      </c>
      <c r="AT9" s="40">
        <v>50.037999999999997</v>
      </c>
      <c r="AU9" s="40">
        <v>2.6518378500000002</v>
      </c>
      <c r="AV9" s="40">
        <v>2382.5280400000001</v>
      </c>
      <c r="AW9" s="40">
        <v>202.79444000000001</v>
      </c>
      <c r="AX9" s="40">
        <v>13.1333333</v>
      </c>
      <c r="AY9" s="41">
        <v>1.0263202899999999</v>
      </c>
    </row>
    <row r="10" spans="1:51" x14ac:dyDescent="0.25">
      <c r="U10" s="38" t="s">
        <v>10</v>
      </c>
      <c r="V10" s="25" t="s">
        <v>58</v>
      </c>
      <c r="W10" s="25">
        <v>3</v>
      </c>
      <c r="X10" s="40">
        <v>274</v>
      </c>
      <c r="Y10" s="40">
        <v>0</v>
      </c>
      <c r="Z10" s="40">
        <v>6411.1414999999997</v>
      </c>
      <c r="AA10" s="40">
        <v>239.47452999999999</v>
      </c>
      <c r="AB10" s="40">
        <v>3106.49161</v>
      </c>
      <c r="AC10" s="40">
        <v>129.27580499999999</v>
      </c>
      <c r="AD10" s="40">
        <v>0.48455288000000002</v>
      </c>
      <c r="AE10" s="40">
        <v>9.8887000000000003E-3</v>
      </c>
      <c r="AF10" s="40">
        <v>0.49108369000000002</v>
      </c>
      <c r="AG10" s="40">
        <v>9.3894600000000005E-3</v>
      </c>
      <c r="AH10" s="40">
        <v>3147.9343600000002</v>
      </c>
      <c r="AI10" s="40">
        <v>112.838218</v>
      </c>
      <c r="AJ10" s="40">
        <v>0</v>
      </c>
      <c r="AK10" s="40">
        <v>0</v>
      </c>
      <c r="AL10" s="40">
        <v>117.420192</v>
      </c>
      <c r="AM10" s="40">
        <v>35.816445000000002</v>
      </c>
      <c r="AN10" s="40">
        <v>1557.5276200000001</v>
      </c>
      <c r="AO10" s="40">
        <v>45.587761</v>
      </c>
      <c r="AP10" s="40">
        <v>0.46385746999999999</v>
      </c>
      <c r="AQ10" s="40">
        <v>1.6930790000000001E-2</v>
      </c>
      <c r="AR10" s="40">
        <v>2975.1342399999999</v>
      </c>
      <c r="AS10" s="40">
        <v>186.24721</v>
      </c>
      <c r="AT10" s="40">
        <v>50.376666700000001</v>
      </c>
      <c r="AU10" s="40">
        <v>3.8212722100000001</v>
      </c>
      <c r="AV10" s="40">
        <v>4736.1936900000001</v>
      </c>
      <c r="AW10" s="40">
        <v>258.26670999999999</v>
      </c>
      <c r="AX10" s="40">
        <v>14.7333333</v>
      </c>
      <c r="AY10" s="41">
        <v>0.61101008999999995</v>
      </c>
    </row>
    <row r="11" spans="1:51" x14ac:dyDescent="0.25">
      <c r="U11" s="38" t="s">
        <v>10</v>
      </c>
      <c r="V11" s="25" t="s">
        <v>1</v>
      </c>
      <c r="W11" s="25">
        <v>3</v>
      </c>
      <c r="X11" s="40">
        <v>270</v>
      </c>
      <c r="Y11" s="40">
        <v>0</v>
      </c>
      <c r="Z11" s="40">
        <v>3058.47921</v>
      </c>
      <c r="AA11" s="40">
        <v>1114.3330100000001</v>
      </c>
      <c r="AB11" s="40">
        <v>1350.10941</v>
      </c>
      <c r="AC11" s="40">
        <v>392.06176900000003</v>
      </c>
      <c r="AD11" s="40">
        <v>0.44878181</v>
      </c>
      <c r="AE11" s="40">
        <v>4.3686490000000001E-2</v>
      </c>
      <c r="AF11" s="40">
        <v>0.44468088</v>
      </c>
      <c r="AG11" s="40">
        <v>5.8759680000000002E-2</v>
      </c>
      <c r="AH11" s="40">
        <v>1319.81203</v>
      </c>
      <c r="AI11" s="40">
        <v>308.89843200000001</v>
      </c>
      <c r="AJ11" s="40">
        <v>0</v>
      </c>
      <c r="AK11" s="40">
        <v>0</v>
      </c>
      <c r="AL11" s="40">
        <v>21.451163999999999</v>
      </c>
      <c r="AM11" s="40">
        <v>21.638408999999999</v>
      </c>
      <c r="AN11" s="40">
        <v>630.24775999999997</v>
      </c>
      <c r="AO11" s="40">
        <v>248.11044100000001</v>
      </c>
      <c r="AP11" s="40">
        <v>0.45239837999999999</v>
      </c>
      <c r="AQ11" s="40">
        <v>5.5430319999999998E-2</v>
      </c>
      <c r="AR11" s="40">
        <v>1400.8628699999999</v>
      </c>
      <c r="AS11" s="40">
        <v>572.67550000000006</v>
      </c>
      <c r="AT11" s="40">
        <v>36.237333300000003</v>
      </c>
      <c r="AU11" s="40">
        <v>3.8882192999999998</v>
      </c>
      <c r="AV11" s="40">
        <v>2406.7802900000002</v>
      </c>
      <c r="AW11" s="40">
        <v>848.18497000000002</v>
      </c>
      <c r="AX11" s="40">
        <v>14.2</v>
      </c>
      <c r="AY11" s="41">
        <v>0.56568541999999999</v>
      </c>
    </row>
    <row r="12" spans="1:51" x14ac:dyDescent="0.25">
      <c r="U12" s="38" t="s">
        <v>13</v>
      </c>
      <c r="V12" s="25" t="s">
        <v>58</v>
      </c>
      <c r="W12" s="25">
        <v>3</v>
      </c>
      <c r="X12" s="40">
        <v>270</v>
      </c>
      <c r="Y12" s="40">
        <v>0</v>
      </c>
      <c r="Z12" s="40">
        <v>7034.0991999999997</v>
      </c>
      <c r="AA12" s="40">
        <v>1232.99514</v>
      </c>
      <c r="AB12" s="40">
        <v>3297.4106499999998</v>
      </c>
      <c r="AC12" s="40">
        <v>734.60355100000004</v>
      </c>
      <c r="AD12" s="40">
        <v>0.46610262000000002</v>
      </c>
      <c r="AE12" s="40">
        <v>2.3679559999999999E-2</v>
      </c>
      <c r="AF12" s="40">
        <v>0.46610262000000002</v>
      </c>
      <c r="AG12" s="40">
        <v>2.3679559999999999E-2</v>
      </c>
      <c r="AH12" s="40">
        <v>3297.4106499999998</v>
      </c>
      <c r="AI12" s="40">
        <v>734.60355100000004</v>
      </c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2"/>
    </row>
    <row r="13" spans="1:51" x14ac:dyDescent="0.25">
      <c r="U13" s="38" t="s">
        <v>13</v>
      </c>
      <c r="V13" s="25" t="s">
        <v>1</v>
      </c>
      <c r="W13" s="25">
        <v>3</v>
      </c>
      <c r="X13" s="40">
        <v>270</v>
      </c>
      <c r="Y13" s="40">
        <v>0</v>
      </c>
      <c r="Z13" s="40">
        <v>3578.5922700000001</v>
      </c>
      <c r="AA13" s="40">
        <v>198.92724999999999</v>
      </c>
      <c r="AB13" s="40">
        <v>1664.1137900000001</v>
      </c>
      <c r="AC13" s="40">
        <v>157.41526500000001</v>
      </c>
      <c r="AD13" s="40">
        <v>0.46440867000000002</v>
      </c>
      <c r="AE13" s="40">
        <v>2.0789740000000001E-2</v>
      </c>
      <c r="AF13" s="40">
        <v>0.46440867000000002</v>
      </c>
      <c r="AG13" s="40">
        <v>2.0789740000000001E-2</v>
      </c>
      <c r="AH13" s="40">
        <v>1664.1137900000001</v>
      </c>
      <c r="AI13" s="40">
        <v>157.41526500000001</v>
      </c>
      <c r="AJ13" s="40">
        <v>0</v>
      </c>
      <c r="AK13" s="40" t="s">
        <v>41</v>
      </c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2"/>
    </row>
    <row r="14" spans="1:51" ht="27" customHeight="1" x14ac:dyDescent="0.25">
      <c r="U14" s="38" t="s">
        <v>11</v>
      </c>
      <c r="V14" s="25" t="s">
        <v>58</v>
      </c>
      <c r="W14" s="25">
        <v>3</v>
      </c>
      <c r="X14" s="40">
        <v>270</v>
      </c>
      <c r="Y14" s="40">
        <v>0</v>
      </c>
      <c r="Z14" s="40">
        <v>5587.6549999999997</v>
      </c>
      <c r="AA14" s="40">
        <v>942.60706000000005</v>
      </c>
      <c r="AB14" s="40">
        <v>1580.9628</v>
      </c>
      <c r="AC14" s="40">
        <v>780.01712899999995</v>
      </c>
      <c r="AD14" s="40">
        <v>0.27514929999999999</v>
      </c>
      <c r="AE14" s="40">
        <v>0.10198570999999999</v>
      </c>
      <c r="AF14" s="40">
        <v>0.28234498000000002</v>
      </c>
      <c r="AG14" s="40">
        <v>9.9121860000000006E-2</v>
      </c>
      <c r="AH14" s="40">
        <v>1599.5391199999999</v>
      </c>
      <c r="AI14" s="40">
        <v>733.53631800000005</v>
      </c>
      <c r="AJ14" s="40">
        <v>296.13889899999998</v>
      </c>
      <c r="AK14" s="40">
        <v>283.12794600000001</v>
      </c>
      <c r="AL14" s="40">
        <v>13.492551000000001</v>
      </c>
      <c r="AM14" s="40">
        <v>23.369783999999999</v>
      </c>
      <c r="AN14" s="40">
        <v>2299.4749299999999</v>
      </c>
      <c r="AO14" s="40">
        <v>268.02556399999997</v>
      </c>
      <c r="AP14" s="40">
        <v>0.25916183999999998</v>
      </c>
      <c r="AQ14" s="40">
        <v>0.20110985000000001</v>
      </c>
      <c r="AR14" s="40">
        <v>1574.4017200000001</v>
      </c>
      <c r="AS14" s="40">
        <v>1262.24712</v>
      </c>
      <c r="AT14" s="40">
        <v>76.284666700000002</v>
      </c>
      <c r="AU14" s="40">
        <v>8.0415506800000003</v>
      </c>
      <c r="AV14" s="40">
        <v>2978.5486099999998</v>
      </c>
      <c r="AW14" s="40">
        <v>1489.25838</v>
      </c>
      <c r="AX14" s="40">
        <v>14.6666667</v>
      </c>
      <c r="AY14" s="41">
        <v>2.5324559899999999</v>
      </c>
    </row>
    <row r="15" spans="1:51" x14ac:dyDescent="0.25">
      <c r="U15" s="38" t="s">
        <v>11</v>
      </c>
      <c r="V15" s="25" t="s">
        <v>1</v>
      </c>
      <c r="W15" s="25">
        <v>3</v>
      </c>
      <c r="X15" s="40">
        <v>270</v>
      </c>
      <c r="Y15" s="40">
        <v>0</v>
      </c>
      <c r="Z15" s="40">
        <v>2245.9336199999998</v>
      </c>
      <c r="AA15" s="40">
        <v>57.544800000000002</v>
      </c>
      <c r="AB15" s="40">
        <v>711.34208999999998</v>
      </c>
      <c r="AC15" s="40">
        <v>135.941011</v>
      </c>
      <c r="AD15" s="40">
        <v>0.31584716000000002</v>
      </c>
      <c r="AE15" s="40">
        <v>5.2422059999999999E-2</v>
      </c>
      <c r="AF15" s="40">
        <v>0.29788753000000001</v>
      </c>
      <c r="AG15" s="40">
        <v>5.2890479999999997E-2</v>
      </c>
      <c r="AH15" s="40">
        <v>671.05479000000003</v>
      </c>
      <c r="AI15" s="40">
        <v>135.87531799999999</v>
      </c>
      <c r="AJ15" s="40">
        <v>0</v>
      </c>
      <c r="AK15" s="40">
        <v>0</v>
      </c>
      <c r="AL15" s="40">
        <v>4.1746829999999999</v>
      </c>
      <c r="AM15" s="40">
        <v>7.2307629999999996</v>
      </c>
      <c r="AN15" s="40">
        <v>620.10887000000002</v>
      </c>
      <c r="AO15" s="40">
        <v>94.328766999999999</v>
      </c>
      <c r="AP15" s="40">
        <v>0.36901665</v>
      </c>
      <c r="AQ15" s="40">
        <v>4.665292E-2</v>
      </c>
      <c r="AR15" s="40">
        <v>830.24482</v>
      </c>
      <c r="AS15" s="40">
        <v>123.96624</v>
      </c>
      <c r="AT15" s="40">
        <v>55.033333300000002</v>
      </c>
      <c r="AU15" s="40">
        <v>5.5725847999999996</v>
      </c>
      <c r="AV15" s="40">
        <v>1621.6500699999999</v>
      </c>
      <c r="AW15" s="40">
        <v>107.88800000000001</v>
      </c>
      <c r="AX15" s="40">
        <v>15.533333300000001</v>
      </c>
      <c r="AY15" s="41">
        <v>0.83266640000000003</v>
      </c>
    </row>
    <row r="16" spans="1:51" x14ac:dyDescent="0.25">
      <c r="U16" s="38" t="s">
        <v>59</v>
      </c>
      <c r="V16" s="25" t="s">
        <v>58</v>
      </c>
      <c r="W16" s="25">
        <v>3</v>
      </c>
      <c r="X16" s="40">
        <v>270</v>
      </c>
      <c r="Y16" s="40">
        <v>0</v>
      </c>
      <c r="Z16" s="40">
        <v>6162.7826400000004</v>
      </c>
      <c r="AA16" s="40">
        <v>245.51660000000001</v>
      </c>
      <c r="AB16" s="40">
        <v>2865.4267</v>
      </c>
      <c r="AC16" s="40">
        <v>214.071181</v>
      </c>
      <c r="AD16" s="40">
        <v>0.46499684000000002</v>
      </c>
      <c r="AE16" s="40">
        <v>2.972516E-2</v>
      </c>
      <c r="AF16" s="40">
        <v>0.46591438000000002</v>
      </c>
      <c r="AG16" s="40">
        <v>3.0782219999999999E-2</v>
      </c>
      <c r="AH16" s="40">
        <v>2870.7731800000001</v>
      </c>
      <c r="AI16" s="40">
        <v>213.40689399999999</v>
      </c>
      <c r="AJ16" s="40">
        <v>0</v>
      </c>
      <c r="AK16" s="40">
        <v>0</v>
      </c>
      <c r="AL16" s="40">
        <v>6.4650059999999998</v>
      </c>
      <c r="AM16" s="40">
        <v>11.197718</v>
      </c>
      <c r="AN16" s="40">
        <v>1682.25388</v>
      </c>
      <c r="AO16" s="40">
        <v>107.899731</v>
      </c>
      <c r="AP16" s="40">
        <v>0.45865716000000001</v>
      </c>
      <c r="AQ16" s="40">
        <v>2.6311250000000001E-2</v>
      </c>
      <c r="AR16" s="40">
        <v>2828.3614600000001</v>
      </c>
      <c r="AS16" s="40">
        <v>235.8092</v>
      </c>
      <c r="AT16" s="40">
        <v>56.811333300000001</v>
      </c>
      <c r="AU16" s="40">
        <v>4.47453521</v>
      </c>
      <c r="AV16" s="40">
        <v>4474.06376</v>
      </c>
      <c r="AW16" s="40">
        <v>252.77733000000001</v>
      </c>
      <c r="AX16" s="40">
        <v>15.3333333</v>
      </c>
      <c r="AY16" s="41">
        <v>1.44683563</v>
      </c>
    </row>
    <row r="17" spans="1:51" x14ac:dyDescent="0.25">
      <c r="U17" s="38" t="s">
        <v>59</v>
      </c>
      <c r="V17" s="25" t="s">
        <v>1</v>
      </c>
      <c r="W17" s="25">
        <v>3</v>
      </c>
      <c r="X17" s="40">
        <v>270</v>
      </c>
      <c r="Y17" s="40">
        <v>0</v>
      </c>
      <c r="Z17" s="40">
        <v>2640.1714099999999</v>
      </c>
      <c r="AA17" s="40">
        <v>361.72658999999999</v>
      </c>
      <c r="AB17" s="40">
        <v>987.23559</v>
      </c>
      <c r="AC17" s="40">
        <v>146.28988000000001</v>
      </c>
      <c r="AD17" s="40">
        <v>0.37445634</v>
      </c>
      <c r="AE17" s="40">
        <v>2.866788E-2</v>
      </c>
      <c r="AF17" s="40">
        <v>0.37713827999999999</v>
      </c>
      <c r="AG17" s="40">
        <v>2.134291E-2</v>
      </c>
      <c r="AH17" s="40">
        <v>992.29417000000001</v>
      </c>
      <c r="AI17" s="40">
        <v>110.296874</v>
      </c>
      <c r="AJ17" s="40">
        <v>0</v>
      </c>
      <c r="AK17" s="40">
        <v>0</v>
      </c>
      <c r="AL17" s="40">
        <v>205.114014</v>
      </c>
      <c r="AM17" s="40">
        <v>188.826897</v>
      </c>
      <c r="AN17" s="40">
        <v>749.31573000000003</v>
      </c>
      <c r="AO17" s="40">
        <v>22.707466</v>
      </c>
      <c r="AP17" s="40">
        <v>0.37184407000000003</v>
      </c>
      <c r="AQ17" s="40">
        <v>5.4588079999999997E-2</v>
      </c>
      <c r="AR17" s="40">
        <v>987.05629999999996</v>
      </c>
      <c r="AS17" s="40">
        <v>244.94642999999999</v>
      </c>
      <c r="AT17" s="40">
        <v>41.317333300000001</v>
      </c>
      <c r="AU17" s="40">
        <v>2.7862923999999998</v>
      </c>
      <c r="AV17" s="40">
        <v>1685.7416599999999</v>
      </c>
      <c r="AW17" s="40">
        <v>323.02744999999999</v>
      </c>
      <c r="AX17" s="40">
        <v>14</v>
      </c>
      <c r="AY17" s="41">
        <v>1.3114877</v>
      </c>
    </row>
    <row r="18" spans="1:51" x14ac:dyDescent="0.25">
      <c r="U18" s="38" t="s">
        <v>60</v>
      </c>
      <c r="V18" s="25" t="s">
        <v>58</v>
      </c>
      <c r="W18" s="25">
        <v>3</v>
      </c>
      <c r="X18" s="40">
        <v>287</v>
      </c>
      <c r="Y18" s="40">
        <v>0</v>
      </c>
      <c r="Z18" s="40">
        <v>7516.3566700000001</v>
      </c>
      <c r="AA18" s="40">
        <v>1137.1320900000001</v>
      </c>
      <c r="AB18" s="40">
        <v>3317.6513500000001</v>
      </c>
      <c r="AC18" s="40">
        <v>718.77889900000002</v>
      </c>
      <c r="AD18" s="40">
        <v>0.43929509</v>
      </c>
      <c r="AE18" s="40">
        <v>4.3902459999999997E-2</v>
      </c>
      <c r="AF18" s="40">
        <v>0.43514019999999998</v>
      </c>
      <c r="AG18" s="40">
        <v>5.0759199999999997E-2</v>
      </c>
      <c r="AH18" s="40">
        <v>3291.98009</v>
      </c>
      <c r="AI18" s="40">
        <v>778.99820699999998</v>
      </c>
      <c r="AJ18" s="40">
        <v>119.000383</v>
      </c>
      <c r="AK18" s="40">
        <v>76.884673000000006</v>
      </c>
      <c r="AL18" s="40">
        <v>0</v>
      </c>
      <c r="AM18" s="40">
        <v>0</v>
      </c>
      <c r="AN18" s="40">
        <v>2759.5590699999998</v>
      </c>
      <c r="AO18" s="40">
        <v>655.81767400000001</v>
      </c>
      <c r="AP18" s="40">
        <v>0.46408554000000002</v>
      </c>
      <c r="AQ18" s="40">
        <v>4.0523749999999997E-2</v>
      </c>
      <c r="AR18" s="40">
        <v>3458.3406799999998</v>
      </c>
      <c r="AS18" s="40">
        <v>215.35212000000001</v>
      </c>
      <c r="AT18" s="40">
        <v>96.435333299999996</v>
      </c>
      <c r="AU18" s="40">
        <v>7.2482776800000002</v>
      </c>
      <c r="AV18" s="40">
        <v>4637.7972200000004</v>
      </c>
      <c r="AW18" s="40">
        <v>467.67025999999998</v>
      </c>
      <c r="AX18" s="40">
        <v>18.8666667</v>
      </c>
      <c r="AY18" s="41">
        <v>1.2220201900000001</v>
      </c>
    </row>
    <row r="19" spans="1:51" x14ac:dyDescent="0.25">
      <c r="U19" s="38" t="s">
        <v>60</v>
      </c>
      <c r="V19" s="25" t="s">
        <v>1</v>
      </c>
      <c r="W19" s="25">
        <v>3</v>
      </c>
      <c r="X19" s="40">
        <v>274</v>
      </c>
      <c r="Y19" s="40">
        <v>0</v>
      </c>
      <c r="Z19" s="40">
        <v>2986.0868</v>
      </c>
      <c r="AA19" s="40">
        <v>2206.8987900000002</v>
      </c>
      <c r="AB19" s="40">
        <v>1351.5681999999999</v>
      </c>
      <c r="AC19" s="40">
        <v>952.56163500000002</v>
      </c>
      <c r="AD19" s="40">
        <v>0.47141348</v>
      </c>
      <c r="AE19" s="40">
        <v>3.9760629999999998E-2</v>
      </c>
      <c r="AF19" s="40">
        <v>0.43823273000000001</v>
      </c>
      <c r="AG19" s="40">
        <v>3.6094590000000003E-2</v>
      </c>
      <c r="AH19" s="40">
        <v>1831.2541200000001</v>
      </c>
      <c r="AI19" s="40">
        <v>215.77513099999999</v>
      </c>
      <c r="AJ19" s="40">
        <v>0</v>
      </c>
      <c r="AK19" s="40">
        <v>0</v>
      </c>
      <c r="AL19" s="40">
        <v>0</v>
      </c>
      <c r="AM19" s="40">
        <v>0</v>
      </c>
      <c r="AN19" s="40">
        <v>735.99125000000004</v>
      </c>
      <c r="AO19" s="40">
        <v>563.24859700000002</v>
      </c>
      <c r="AP19" s="40">
        <v>0.51259588</v>
      </c>
      <c r="AQ19" s="40">
        <v>1.8948309999999999E-2</v>
      </c>
      <c r="AR19" s="40">
        <v>1525.96567</v>
      </c>
      <c r="AS19" s="40">
        <v>1109.6972699999999</v>
      </c>
      <c r="AT19" s="40">
        <v>63.076666699999997</v>
      </c>
      <c r="AU19" s="40">
        <v>1.2784386299999999</v>
      </c>
      <c r="AV19" s="40">
        <v>2250.09555</v>
      </c>
      <c r="AW19" s="40">
        <v>1645.9777300000001</v>
      </c>
      <c r="AX19" s="40">
        <v>18.533333299999999</v>
      </c>
      <c r="AY19" s="41">
        <v>1.9425069699999999</v>
      </c>
    </row>
    <row r="20" spans="1:51" x14ac:dyDescent="0.25">
      <c r="U20" s="38" t="s">
        <v>62</v>
      </c>
      <c r="V20" s="25" t="s">
        <v>58</v>
      </c>
      <c r="W20" s="25">
        <v>3</v>
      </c>
      <c r="X20" s="40">
        <v>290</v>
      </c>
      <c r="Y20" s="40">
        <v>0</v>
      </c>
      <c r="Z20" s="40">
        <v>8221.1889100000008</v>
      </c>
      <c r="AA20" s="40">
        <v>1091.98831</v>
      </c>
      <c r="AB20" s="40">
        <v>3867.9795800000002</v>
      </c>
      <c r="AC20" s="40">
        <v>387.29707300000001</v>
      </c>
      <c r="AD20" s="40">
        <v>0.47212680000000001</v>
      </c>
      <c r="AE20" s="40">
        <v>2.4382040000000001E-2</v>
      </c>
      <c r="AF20" s="40">
        <v>0.47212680000000001</v>
      </c>
      <c r="AG20" s="40">
        <v>2.4382040000000001E-2</v>
      </c>
      <c r="AH20" s="40">
        <v>3867.9795800000002</v>
      </c>
      <c r="AI20" s="40">
        <v>387.29707300000001</v>
      </c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2"/>
    </row>
    <row r="21" spans="1:51" x14ac:dyDescent="0.25">
      <c r="U21" s="38" t="s">
        <v>62</v>
      </c>
      <c r="V21" s="25" t="s">
        <v>1</v>
      </c>
      <c r="W21" s="25">
        <v>3</v>
      </c>
      <c r="X21" s="40">
        <v>284</v>
      </c>
      <c r="Y21" s="40">
        <v>0</v>
      </c>
      <c r="Z21" s="40">
        <v>4309.8103600000004</v>
      </c>
      <c r="AA21" s="40">
        <v>889.18669</v>
      </c>
      <c r="AB21" s="40">
        <v>2102.1152400000001</v>
      </c>
      <c r="AC21" s="40">
        <v>423.778931</v>
      </c>
      <c r="AD21" s="40">
        <v>0.48819373999999999</v>
      </c>
      <c r="AE21" s="40">
        <v>1.7080660000000001E-2</v>
      </c>
      <c r="AF21" s="40">
        <v>0.48819373999999999</v>
      </c>
      <c r="AG21" s="40">
        <v>1.7080660000000001E-2</v>
      </c>
      <c r="AH21" s="40">
        <v>2102.1152400000001</v>
      </c>
      <c r="AI21" s="40">
        <v>423.778931</v>
      </c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2"/>
    </row>
    <row r="22" spans="1:51" x14ac:dyDescent="0.25">
      <c r="U22" s="38" t="s">
        <v>63</v>
      </c>
      <c r="V22" s="25" t="s">
        <v>58</v>
      </c>
      <c r="W22" s="25">
        <v>3</v>
      </c>
      <c r="X22" s="40">
        <v>287</v>
      </c>
      <c r="Y22" s="40">
        <v>0</v>
      </c>
      <c r="Z22" s="40">
        <v>9623.4500399999997</v>
      </c>
      <c r="AA22" s="40">
        <v>1129.8364200000001</v>
      </c>
      <c r="AB22" s="40">
        <v>4607.9503999999997</v>
      </c>
      <c r="AC22" s="40">
        <v>582.70340899999997</v>
      </c>
      <c r="AD22" s="40">
        <v>0.47871765999999999</v>
      </c>
      <c r="AE22" s="40">
        <v>1.517518E-2</v>
      </c>
      <c r="AF22" s="40">
        <v>0.47871765999999999</v>
      </c>
      <c r="AG22" s="40">
        <v>1.517518E-2</v>
      </c>
      <c r="AH22" s="40">
        <v>4607.9503999999997</v>
      </c>
      <c r="AI22" s="40">
        <v>582.70340899999997</v>
      </c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2"/>
    </row>
    <row r="23" spans="1:51" x14ac:dyDescent="0.25">
      <c r="U23" s="38" t="s">
        <v>63</v>
      </c>
      <c r="V23" s="25" t="s">
        <v>1</v>
      </c>
      <c r="W23" s="25">
        <v>3</v>
      </c>
      <c r="X23" s="40">
        <v>282.66666700000002</v>
      </c>
      <c r="Y23" s="40">
        <v>2.3094010800000002</v>
      </c>
      <c r="Z23" s="40">
        <v>3536.6520799999998</v>
      </c>
      <c r="AA23" s="40">
        <v>403.44407000000001</v>
      </c>
      <c r="AB23" s="40">
        <v>1442.5601799999999</v>
      </c>
      <c r="AC23" s="40">
        <v>204.59518600000001</v>
      </c>
      <c r="AD23" s="40">
        <v>0.40915235</v>
      </c>
      <c r="AE23" s="40">
        <v>5.2128239999999999E-2</v>
      </c>
      <c r="AF23" s="40">
        <v>0.40915235</v>
      </c>
      <c r="AG23" s="40">
        <v>5.2128239999999999E-2</v>
      </c>
      <c r="AH23" s="40">
        <v>1442.5601799999999</v>
      </c>
      <c r="AI23" s="40">
        <v>204.59518600000001</v>
      </c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2"/>
    </row>
    <row r="24" spans="1:51" x14ac:dyDescent="0.25">
      <c r="U24" s="38" t="s">
        <v>64</v>
      </c>
      <c r="V24" s="25" t="s">
        <v>58</v>
      </c>
      <c r="W24" s="25">
        <v>3</v>
      </c>
      <c r="X24" s="40">
        <v>290</v>
      </c>
      <c r="Y24" s="40">
        <v>0</v>
      </c>
      <c r="Z24" s="40">
        <v>8047.9576999999999</v>
      </c>
      <c r="AA24" s="40">
        <v>1061.1892499999999</v>
      </c>
      <c r="AB24" s="40">
        <v>3469.5477799999999</v>
      </c>
      <c r="AC24" s="40">
        <v>562.91542400000003</v>
      </c>
      <c r="AD24" s="40">
        <v>0.43001472000000002</v>
      </c>
      <c r="AE24" s="40">
        <v>1.3084989999999999E-2</v>
      </c>
      <c r="AF24" s="40">
        <v>0.43001472000000002</v>
      </c>
      <c r="AG24" s="40">
        <v>1.3084989999999999E-2</v>
      </c>
      <c r="AH24" s="40">
        <v>3469.5477799999999</v>
      </c>
      <c r="AI24" s="40">
        <v>562.91542400000003</v>
      </c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4"/>
    </row>
    <row r="25" spans="1:51" x14ac:dyDescent="0.25">
      <c r="U25" s="38" t="s">
        <v>64</v>
      </c>
      <c r="V25" s="25" t="s">
        <v>1</v>
      </c>
      <c r="W25" s="25">
        <v>3</v>
      </c>
      <c r="X25" s="40">
        <v>284</v>
      </c>
      <c r="Y25" s="40">
        <v>0</v>
      </c>
      <c r="Z25" s="40">
        <v>3987.0532499999999</v>
      </c>
      <c r="AA25" s="40">
        <v>309.56871999999998</v>
      </c>
      <c r="AB25" s="40">
        <v>1690.3719900000001</v>
      </c>
      <c r="AC25" s="40">
        <v>222.905619</v>
      </c>
      <c r="AD25" s="40">
        <v>0.42278542000000002</v>
      </c>
      <c r="AE25" s="40">
        <v>2.5611310000000002E-2</v>
      </c>
      <c r="AF25" s="40">
        <v>0.42278542000000002</v>
      </c>
      <c r="AG25" s="40">
        <v>2.5611310000000002E-2</v>
      </c>
      <c r="AH25" s="40">
        <v>1690.3719900000001</v>
      </c>
      <c r="AI25" s="40">
        <v>222.905619</v>
      </c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4"/>
    </row>
    <row r="26" spans="1:51" x14ac:dyDescent="0.25">
      <c r="U26" s="38" t="s">
        <v>61</v>
      </c>
      <c r="V26" s="25" t="s">
        <v>58</v>
      </c>
      <c r="W26" s="25">
        <v>3</v>
      </c>
      <c r="X26" s="40">
        <v>290</v>
      </c>
      <c r="Y26" s="40">
        <v>0</v>
      </c>
      <c r="Z26" s="40">
        <v>8470.7695100000001</v>
      </c>
      <c r="AA26" s="40">
        <v>1476.1086299999999</v>
      </c>
      <c r="AB26" s="40">
        <v>3868.5266200000001</v>
      </c>
      <c r="AC26" s="40">
        <v>743.05482099999995</v>
      </c>
      <c r="AD26" s="40">
        <v>0.45568038999999999</v>
      </c>
      <c r="AE26" s="40">
        <v>1.441194E-2</v>
      </c>
      <c r="AF26" s="40">
        <v>0.45787017000000002</v>
      </c>
      <c r="AG26" s="40">
        <v>1.3458329999999999E-2</v>
      </c>
      <c r="AH26" s="40">
        <v>3880.30105</v>
      </c>
      <c r="AI26" s="40">
        <v>689.04663800000003</v>
      </c>
      <c r="AJ26" s="40">
        <v>44.891604000000001</v>
      </c>
      <c r="AK26" s="40">
        <v>77.754538999999994</v>
      </c>
      <c r="AL26" s="40">
        <v>0</v>
      </c>
      <c r="AM26" s="40">
        <v>0</v>
      </c>
      <c r="AN26" s="40">
        <v>3133.9451300000001</v>
      </c>
      <c r="AO26" s="40">
        <v>293.10047100000003</v>
      </c>
      <c r="AP26" s="40">
        <v>0.44698238000000001</v>
      </c>
      <c r="AQ26" s="40">
        <v>5.2436549999999998E-2</v>
      </c>
      <c r="AR26" s="40">
        <v>3837.6302999999998</v>
      </c>
      <c r="AS26" s="40">
        <v>1116.19965</v>
      </c>
      <c r="AT26" s="40">
        <v>99.991333299999994</v>
      </c>
      <c r="AU26" s="40">
        <v>6.2441307899999998</v>
      </c>
      <c r="AV26" s="40">
        <v>5291.9327700000003</v>
      </c>
      <c r="AW26" s="40">
        <v>1254.8370199999999</v>
      </c>
      <c r="AX26" s="40">
        <v>22.1333333</v>
      </c>
      <c r="AY26" s="41">
        <v>4.1198705499999999</v>
      </c>
    </row>
    <row r="27" spans="1:51" ht="15.75" thickBot="1" x14ac:dyDescent="0.3">
      <c r="U27" s="42" t="s">
        <v>61</v>
      </c>
      <c r="V27" s="43" t="s">
        <v>1</v>
      </c>
      <c r="W27" s="43">
        <v>3</v>
      </c>
      <c r="X27" s="44">
        <v>274</v>
      </c>
      <c r="Y27" s="44">
        <v>0</v>
      </c>
      <c r="Z27" s="44">
        <v>4166.7943100000002</v>
      </c>
      <c r="AA27" s="44">
        <v>871.04078000000004</v>
      </c>
      <c r="AB27" s="44">
        <v>1861.4150299999999</v>
      </c>
      <c r="AC27" s="44">
        <v>522.32271000000003</v>
      </c>
      <c r="AD27" s="44">
        <v>0.44280451999999998</v>
      </c>
      <c r="AE27" s="44">
        <v>3.2602619999999999E-2</v>
      </c>
      <c r="AF27" s="44">
        <v>0.43214193000000001</v>
      </c>
      <c r="AG27" s="44">
        <v>3.6020120000000003E-2</v>
      </c>
      <c r="AH27" s="44">
        <v>1819.40698</v>
      </c>
      <c r="AI27" s="44">
        <v>530.92703200000005</v>
      </c>
      <c r="AJ27" s="44">
        <v>0</v>
      </c>
      <c r="AK27" s="44">
        <v>0</v>
      </c>
      <c r="AL27" s="44">
        <v>0</v>
      </c>
      <c r="AM27" s="44">
        <v>0</v>
      </c>
      <c r="AN27" s="44">
        <v>1143.8257599999999</v>
      </c>
      <c r="AO27" s="44">
        <v>238.51185799999999</v>
      </c>
      <c r="AP27" s="44">
        <v>0.50043853999999999</v>
      </c>
      <c r="AQ27" s="44">
        <v>2.636631E-2</v>
      </c>
      <c r="AR27" s="44">
        <v>2100.1959700000002</v>
      </c>
      <c r="AS27" s="44">
        <v>552.40632000000005</v>
      </c>
      <c r="AT27" s="44">
        <v>63.753999999999998</v>
      </c>
      <c r="AU27" s="44">
        <v>4.39940905</v>
      </c>
      <c r="AV27" s="44">
        <v>3022.9685500000001</v>
      </c>
      <c r="AW27" s="44">
        <v>650.33460000000002</v>
      </c>
      <c r="AX27" s="44">
        <v>18.066666699999999</v>
      </c>
      <c r="AY27" s="45">
        <v>1.0263202899999999</v>
      </c>
    </row>
    <row r="28" spans="1:51" x14ac:dyDescent="0.25"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X28" s="65"/>
      <c r="AY28" s="65"/>
    </row>
    <row r="29" spans="1:51" ht="15.75" thickBot="1" x14ac:dyDescent="0.3"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X29" s="65"/>
      <c r="AY29" s="65"/>
    </row>
    <row r="30" spans="1:51" ht="27" customHeight="1" x14ac:dyDescent="0.25">
      <c r="A30" s="95" t="s">
        <v>55</v>
      </c>
      <c r="B30" s="210" t="s">
        <v>56</v>
      </c>
      <c r="C30" s="210" t="s">
        <v>75</v>
      </c>
      <c r="D30" s="210"/>
      <c r="E30" s="210" t="s">
        <v>78</v>
      </c>
      <c r="F30" s="210"/>
      <c r="G30" s="210" t="s">
        <v>79</v>
      </c>
      <c r="H30" s="210"/>
      <c r="I30" s="210" t="s">
        <v>80</v>
      </c>
      <c r="J30" s="210"/>
      <c r="K30" s="103" t="s">
        <v>84</v>
      </c>
      <c r="L30" s="103"/>
      <c r="M30" s="103" t="s">
        <v>36</v>
      </c>
      <c r="N30" s="103"/>
      <c r="O30" s="100" t="s">
        <v>29</v>
      </c>
      <c r="P30" s="100"/>
      <c r="Q30" s="100" t="s">
        <v>30</v>
      </c>
      <c r="R30" s="100"/>
      <c r="S30" s="100" t="s">
        <v>31</v>
      </c>
      <c r="T30" s="100"/>
      <c r="U30" s="100" t="s">
        <v>33</v>
      </c>
      <c r="V30" s="100"/>
      <c r="W30" s="100" t="s">
        <v>82</v>
      </c>
      <c r="X30" s="100"/>
      <c r="Y30" s="100" t="s">
        <v>83</v>
      </c>
      <c r="Z30" s="100"/>
      <c r="AA30" s="100" t="s">
        <v>32</v>
      </c>
      <c r="AB30" s="100"/>
      <c r="AC30" s="210" t="s">
        <v>85</v>
      </c>
      <c r="AD30" s="211"/>
    </row>
    <row r="31" spans="1:51" x14ac:dyDescent="0.25">
      <c r="A31" s="96" t="s">
        <v>45</v>
      </c>
      <c r="B31" s="214"/>
      <c r="C31" s="101" t="s">
        <v>52</v>
      </c>
      <c r="D31" s="101" t="s">
        <v>57</v>
      </c>
      <c r="E31" s="101" t="s">
        <v>52</v>
      </c>
      <c r="F31" s="101" t="s">
        <v>57</v>
      </c>
      <c r="G31" s="101" t="s">
        <v>52</v>
      </c>
      <c r="H31" s="101" t="s">
        <v>57</v>
      </c>
      <c r="I31" s="101" t="s">
        <v>52</v>
      </c>
      <c r="J31" s="101" t="s">
        <v>57</v>
      </c>
      <c r="K31" s="104" t="s">
        <v>52</v>
      </c>
      <c r="L31" s="104" t="s">
        <v>57</v>
      </c>
      <c r="M31" s="104" t="s">
        <v>52</v>
      </c>
      <c r="N31" s="104" t="s">
        <v>57</v>
      </c>
      <c r="O31" s="101" t="s">
        <v>52</v>
      </c>
      <c r="P31" s="101" t="s">
        <v>57</v>
      </c>
      <c r="Q31" s="101" t="s">
        <v>52</v>
      </c>
      <c r="R31" s="101" t="s">
        <v>57</v>
      </c>
      <c r="S31" s="101" t="s">
        <v>52</v>
      </c>
      <c r="T31" s="101" t="s">
        <v>57</v>
      </c>
      <c r="U31" s="101" t="s">
        <v>52</v>
      </c>
      <c r="V31" s="101" t="s">
        <v>57</v>
      </c>
      <c r="W31" s="101" t="s">
        <v>52</v>
      </c>
      <c r="X31" s="101" t="s">
        <v>57</v>
      </c>
      <c r="Y31" s="101" t="s">
        <v>52</v>
      </c>
      <c r="Z31" s="101" t="s">
        <v>57</v>
      </c>
      <c r="AA31" s="101" t="s">
        <v>52</v>
      </c>
      <c r="AB31" s="101" t="s">
        <v>57</v>
      </c>
      <c r="AC31" s="101" t="s">
        <v>52</v>
      </c>
      <c r="AD31" s="102" t="s">
        <v>57</v>
      </c>
    </row>
    <row r="32" spans="1:51" x14ac:dyDescent="0.25">
      <c r="A32" s="96" t="s">
        <v>58</v>
      </c>
      <c r="B32" s="79">
        <v>36</v>
      </c>
      <c r="C32" s="40">
        <v>282.91666700000002</v>
      </c>
      <c r="D32" s="40">
        <v>8.6894846099999992</v>
      </c>
      <c r="E32" s="40">
        <v>7745.7847099999999</v>
      </c>
      <c r="F32" s="40">
        <v>1500.9742000000001</v>
      </c>
      <c r="G32" s="40">
        <v>3558.7770500000001</v>
      </c>
      <c r="H32" s="40">
        <v>957.05049699999995</v>
      </c>
      <c r="I32" s="40">
        <v>0.45321745000000002</v>
      </c>
      <c r="J32" s="40">
        <v>6.5536179999999999E-2</v>
      </c>
      <c r="K32" s="83">
        <v>0.45322907000000001</v>
      </c>
      <c r="L32" s="83">
        <v>6.3925319999999994E-2</v>
      </c>
      <c r="M32" s="83">
        <v>3553.7338399999999</v>
      </c>
      <c r="N32" s="83">
        <v>942.17423499999995</v>
      </c>
      <c r="O32" s="40">
        <v>59.232412799999999</v>
      </c>
      <c r="P32" s="40">
        <v>133.87736100000001</v>
      </c>
      <c r="Q32" s="40">
        <v>21.267357199999999</v>
      </c>
      <c r="R32" s="40">
        <v>42.125860799999998</v>
      </c>
      <c r="S32" s="40">
        <v>2287.2113800000002</v>
      </c>
      <c r="T32" s="40">
        <v>576.23798999999997</v>
      </c>
      <c r="U32" s="40">
        <v>0.45122441000000002</v>
      </c>
      <c r="V32" s="40">
        <v>0.11142091</v>
      </c>
      <c r="W32" s="40">
        <v>3474.5374999999999</v>
      </c>
      <c r="X32" s="40">
        <v>1238.3148100000001</v>
      </c>
      <c r="Y32" s="40">
        <v>77.152500000000003</v>
      </c>
      <c r="Z32" s="40">
        <v>18.300457999999999</v>
      </c>
      <c r="AA32" s="40">
        <v>5135.1289299999999</v>
      </c>
      <c r="AB32" s="40">
        <v>1437.24128</v>
      </c>
      <c r="AC32" s="40">
        <v>17.091666700000001</v>
      </c>
      <c r="AD32" s="41">
        <v>3.18910055</v>
      </c>
    </row>
    <row r="33" spans="1:38" ht="15.75" thickBot="1" x14ac:dyDescent="0.3">
      <c r="A33" s="97" t="s">
        <v>1</v>
      </c>
      <c r="B33" s="98">
        <v>36</v>
      </c>
      <c r="C33" s="44">
        <v>276.5</v>
      </c>
      <c r="D33" s="44">
        <v>6.0356086199999996</v>
      </c>
      <c r="E33" s="44">
        <v>3406.37309</v>
      </c>
      <c r="F33" s="44">
        <v>916.45393000000001</v>
      </c>
      <c r="G33" s="44">
        <v>1484.22684</v>
      </c>
      <c r="H33" s="44">
        <v>477.42360300000001</v>
      </c>
      <c r="I33" s="44">
        <v>0.43242257000000001</v>
      </c>
      <c r="J33" s="44">
        <v>5.5324199999999997E-2</v>
      </c>
      <c r="K33" s="99">
        <v>0.42412917</v>
      </c>
      <c r="L33" s="99">
        <v>5.6836940000000002E-2</v>
      </c>
      <c r="M33" s="99">
        <v>1497.1529599999999</v>
      </c>
      <c r="N33" s="99">
        <v>432.89263099999999</v>
      </c>
      <c r="O33" s="44">
        <v>0</v>
      </c>
      <c r="P33" s="44">
        <v>0</v>
      </c>
      <c r="Q33" s="44">
        <v>44.436174299999998</v>
      </c>
      <c r="R33" s="44">
        <v>91.089725000000001</v>
      </c>
      <c r="S33" s="44">
        <v>790.02057000000002</v>
      </c>
      <c r="T33" s="44">
        <v>275.57959199999999</v>
      </c>
      <c r="U33" s="44">
        <v>0.46473087000000002</v>
      </c>
      <c r="V33" s="44">
        <v>6.9735130000000006E-2</v>
      </c>
      <c r="W33" s="44">
        <v>1505.38715</v>
      </c>
      <c r="X33" s="44">
        <v>582.72128999999995</v>
      </c>
      <c r="Y33" s="44">
        <v>51.395841699999998</v>
      </c>
      <c r="Z33" s="44">
        <v>9.8064797000000006</v>
      </c>
      <c r="AA33" s="44">
        <v>2254.64581</v>
      </c>
      <c r="AB33" s="44">
        <v>881.96999000000005</v>
      </c>
      <c r="AC33" s="44">
        <v>15.4</v>
      </c>
      <c r="AD33" s="45">
        <v>2.1608079299999998</v>
      </c>
    </row>
    <row r="35" spans="1:38" ht="15.75" thickBot="1" x14ac:dyDescent="0.3"/>
    <row r="36" spans="1:38" x14ac:dyDescent="0.25">
      <c r="A36" s="107" t="s">
        <v>55</v>
      </c>
      <c r="B36" s="212" t="s">
        <v>56</v>
      </c>
      <c r="C36" s="212" t="s">
        <v>75</v>
      </c>
      <c r="D36" s="212"/>
      <c r="E36" s="212" t="s">
        <v>78</v>
      </c>
      <c r="F36" s="212"/>
      <c r="G36" s="212" t="s">
        <v>79</v>
      </c>
      <c r="H36" s="212"/>
      <c r="I36" s="212" t="s">
        <v>80</v>
      </c>
      <c r="J36" s="212"/>
      <c r="K36" s="108" t="s">
        <v>55</v>
      </c>
      <c r="L36" s="212" t="s">
        <v>56</v>
      </c>
      <c r="M36" s="212" t="s">
        <v>84</v>
      </c>
      <c r="N36" s="212"/>
      <c r="O36" s="212" t="s">
        <v>36</v>
      </c>
      <c r="P36" s="212"/>
      <c r="Q36" s="108" t="s">
        <v>55</v>
      </c>
      <c r="R36" s="212" t="s">
        <v>56</v>
      </c>
      <c r="S36" s="212" t="s">
        <v>29</v>
      </c>
      <c r="T36" s="212"/>
      <c r="U36" s="212" t="s">
        <v>30</v>
      </c>
      <c r="V36" s="212"/>
      <c r="W36" s="212" t="s">
        <v>31</v>
      </c>
      <c r="X36" s="212"/>
      <c r="Y36" s="212" t="s">
        <v>33</v>
      </c>
      <c r="Z36" s="212"/>
      <c r="AA36" s="212" t="s">
        <v>82</v>
      </c>
      <c r="AB36" s="212"/>
      <c r="AC36" s="212" t="s">
        <v>83</v>
      </c>
      <c r="AD36" s="212"/>
      <c r="AE36" s="108" t="s">
        <v>55</v>
      </c>
      <c r="AF36" s="212" t="s">
        <v>56</v>
      </c>
      <c r="AG36" s="212" t="s">
        <v>32</v>
      </c>
      <c r="AH36" s="212"/>
      <c r="AI36" s="108" t="s">
        <v>55</v>
      </c>
      <c r="AJ36" s="212" t="s">
        <v>56</v>
      </c>
      <c r="AK36" s="212" t="s">
        <v>85</v>
      </c>
      <c r="AL36" s="215"/>
    </row>
    <row r="37" spans="1:38" x14ac:dyDescent="0.25">
      <c r="A37" s="109" t="s">
        <v>73</v>
      </c>
      <c r="B37" s="213"/>
      <c r="C37" s="106" t="s">
        <v>52</v>
      </c>
      <c r="D37" s="106" t="s">
        <v>57</v>
      </c>
      <c r="E37" s="106" t="s">
        <v>52</v>
      </c>
      <c r="F37" s="106" t="s">
        <v>57</v>
      </c>
      <c r="G37" s="106" t="s">
        <v>52</v>
      </c>
      <c r="H37" s="106" t="s">
        <v>57</v>
      </c>
      <c r="I37" s="106" t="s">
        <v>52</v>
      </c>
      <c r="J37" s="106" t="s">
        <v>57</v>
      </c>
      <c r="K37" s="105" t="s">
        <v>73</v>
      </c>
      <c r="L37" s="213"/>
      <c r="M37" s="106" t="s">
        <v>52</v>
      </c>
      <c r="N37" s="106" t="s">
        <v>57</v>
      </c>
      <c r="O37" s="106" t="s">
        <v>52</v>
      </c>
      <c r="P37" s="106" t="s">
        <v>57</v>
      </c>
      <c r="Q37" s="105" t="s">
        <v>73</v>
      </c>
      <c r="R37" s="213"/>
      <c r="S37" s="106" t="s">
        <v>52</v>
      </c>
      <c r="T37" s="106" t="s">
        <v>57</v>
      </c>
      <c r="U37" s="106" t="s">
        <v>52</v>
      </c>
      <c r="V37" s="106" t="s">
        <v>57</v>
      </c>
      <c r="W37" s="106" t="s">
        <v>52</v>
      </c>
      <c r="X37" s="106" t="s">
        <v>57</v>
      </c>
      <c r="Y37" s="106" t="s">
        <v>52</v>
      </c>
      <c r="Z37" s="106" t="s">
        <v>57</v>
      </c>
      <c r="AA37" s="106" t="s">
        <v>52</v>
      </c>
      <c r="AB37" s="106" t="s">
        <v>57</v>
      </c>
      <c r="AC37" s="106" t="s">
        <v>52</v>
      </c>
      <c r="AD37" s="106" t="s">
        <v>57</v>
      </c>
      <c r="AE37" s="105" t="s">
        <v>73</v>
      </c>
      <c r="AF37" s="213"/>
      <c r="AG37" s="106" t="s">
        <v>52</v>
      </c>
      <c r="AH37" s="106" t="s">
        <v>57</v>
      </c>
      <c r="AI37" s="105" t="s">
        <v>73</v>
      </c>
      <c r="AJ37" s="213"/>
      <c r="AK37" s="106" t="s">
        <v>52</v>
      </c>
      <c r="AL37" s="110" t="s">
        <v>57</v>
      </c>
    </row>
    <row r="38" spans="1:38" x14ac:dyDescent="0.25">
      <c r="A38" s="109" t="s">
        <v>0</v>
      </c>
      <c r="B38" s="106">
        <v>6</v>
      </c>
      <c r="C38" s="111">
        <v>284.83333299999998</v>
      </c>
      <c r="D38" s="111">
        <v>2.7868740000000001</v>
      </c>
      <c r="E38" s="111">
        <v>5896.2800900000002</v>
      </c>
      <c r="F38" s="111">
        <v>2738.7414199999998</v>
      </c>
      <c r="G38" s="111">
        <v>2825.4923399999998</v>
      </c>
      <c r="H38" s="111">
        <v>1441.4688000000001</v>
      </c>
      <c r="I38" s="111">
        <v>0.47074162000000003</v>
      </c>
      <c r="J38" s="111">
        <v>3.9995000000000003E-2</v>
      </c>
      <c r="K38" s="105" t="s">
        <v>0</v>
      </c>
      <c r="L38" s="106">
        <v>6</v>
      </c>
      <c r="M38" s="111">
        <v>0.46333707000000002</v>
      </c>
      <c r="N38" s="111">
        <v>4.4220849999999999E-2</v>
      </c>
      <c r="O38" s="111">
        <v>2804.9792499999999</v>
      </c>
      <c r="P38" s="111">
        <v>1483.5899099999999</v>
      </c>
      <c r="Q38" s="105" t="s">
        <v>0</v>
      </c>
      <c r="R38" s="106">
        <v>6</v>
      </c>
      <c r="S38" s="111">
        <v>2.1488969999999998</v>
      </c>
      <c r="T38" s="111">
        <v>5.2637</v>
      </c>
      <c r="U38" s="111">
        <v>13.190310999999999</v>
      </c>
      <c r="V38" s="111">
        <v>32.309531</v>
      </c>
      <c r="W38" s="111">
        <v>1350.7539200000001</v>
      </c>
      <c r="X38" s="111">
        <v>740.46240999999998</v>
      </c>
      <c r="Y38" s="111">
        <v>0.49479366000000002</v>
      </c>
      <c r="Z38" s="111">
        <v>0.10194046</v>
      </c>
      <c r="AA38" s="111">
        <v>2800.9203000000002</v>
      </c>
      <c r="AB38" s="111">
        <v>1249.72882</v>
      </c>
      <c r="AC38" s="111">
        <v>62.6533333</v>
      </c>
      <c r="AD38" s="111">
        <v>17.0393428</v>
      </c>
      <c r="AE38" s="105" t="s">
        <v>0</v>
      </c>
      <c r="AF38" s="106">
        <v>6</v>
      </c>
      <c r="AG38" s="111">
        <v>4530.18696</v>
      </c>
      <c r="AH38" s="111">
        <v>2061.3522600000001</v>
      </c>
      <c r="AI38" s="105" t="s">
        <v>0</v>
      </c>
      <c r="AJ38" s="106">
        <v>6</v>
      </c>
      <c r="AK38" s="111">
        <v>15.7</v>
      </c>
      <c r="AL38" s="112">
        <v>2.0149441700000001</v>
      </c>
    </row>
    <row r="39" spans="1:38" x14ac:dyDescent="0.25">
      <c r="A39" s="109" t="s">
        <v>3</v>
      </c>
      <c r="B39" s="106">
        <v>6</v>
      </c>
      <c r="C39" s="111">
        <v>282</v>
      </c>
      <c r="D39" s="111">
        <v>8.7635609199999998</v>
      </c>
      <c r="E39" s="111">
        <v>6750.2188200000001</v>
      </c>
      <c r="F39" s="111">
        <v>3445.3878500000001</v>
      </c>
      <c r="G39" s="111">
        <v>3244.34719</v>
      </c>
      <c r="H39" s="111">
        <v>1816.54918</v>
      </c>
      <c r="I39" s="111">
        <v>0.47002196000000002</v>
      </c>
      <c r="J39" s="111">
        <v>4.0117119999999999E-2</v>
      </c>
      <c r="K39" s="105" t="s">
        <v>3</v>
      </c>
      <c r="L39" s="106">
        <v>6</v>
      </c>
      <c r="M39" s="111">
        <v>0.45985284999999998</v>
      </c>
      <c r="N39" s="111">
        <v>3.938556E-2</v>
      </c>
      <c r="O39" s="111">
        <v>3175.39615</v>
      </c>
      <c r="P39" s="111">
        <v>1778.9217000000001</v>
      </c>
      <c r="Q39" s="105" t="s">
        <v>3</v>
      </c>
      <c r="R39" s="106">
        <v>6</v>
      </c>
      <c r="S39" s="111">
        <v>2.4361570000000001</v>
      </c>
      <c r="T39" s="111">
        <v>5.9673420000000004</v>
      </c>
      <c r="U39" s="111">
        <v>29.136779000000001</v>
      </c>
      <c r="V39" s="111">
        <v>62.559784999999998</v>
      </c>
      <c r="W39" s="111">
        <v>1678.0008399999999</v>
      </c>
      <c r="X39" s="111">
        <v>908.42903999999999</v>
      </c>
      <c r="Y39" s="111">
        <v>0.52875987000000002</v>
      </c>
      <c r="Z39" s="111">
        <v>4.4998320000000001E-2</v>
      </c>
      <c r="AA39" s="111">
        <v>3657.8904000000002</v>
      </c>
      <c r="AB39" s="111">
        <v>2065.8112000000001</v>
      </c>
      <c r="AC39" s="111">
        <v>73.842033299999997</v>
      </c>
      <c r="AD39" s="111">
        <v>21.4567944</v>
      </c>
      <c r="AE39" s="105" t="s">
        <v>3</v>
      </c>
      <c r="AF39" s="106">
        <v>6</v>
      </c>
      <c r="AG39" s="111">
        <v>5040.6450400000003</v>
      </c>
      <c r="AH39" s="111">
        <v>2598.6975499999999</v>
      </c>
      <c r="AI39" s="105" t="s">
        <v>3</v>
      </c>
      <c r="AJ39" s="106">
        <v>6</v>
      </c>
      <c r="AK39" s="111">
        <v>17.399999999999999</v>
      </c>
      <c r="AL39" s="112">
        <v>2.6015380100000001</v>
      </c>
    </row>
    <row r="40" spans="1:38" ht="25.5" x14ac:dyDescent="0.25">
      <c r="A40" s="109" t="s">
        <v>4</v>
      </c>
      <c r="B40" s="106">
        <v>6</v>
      </c>
      <c r="C40" s="111">
        <v>286.33333299999998</v>
      </c>
      <c r="D40" s="111">
        <v>4.2739521099999997</v>
      </c>
      <c r="E40" s="111">
        <v>5473.9606100000001</v>
      </c>
      <c r="F40" s="111">
        <v>2472.22343</v>
      </c>
      <c r="G40" s="111">
        <v>2616.7943100000002</v>
      </c>
      <c r="H40" s="111">
        <v>1285.2182</v>
      </c>
      <c r="I40" s="111">
        <v>0.4708367</v>
      </c>
      <c r="J40" s="111">
        <v>2.6514240000000001E-2</v>
      </c>
      <c r="K40" s="105" t="s">
        <v>4</v>
      </c>
      <c r="L40" s="106">
        <v>6</v>
      </c>
      <c r="M40" s="111">
        <v>0.46634168999999998</v>
      </c>
      <c r="N40" s="111">
        <v>2.9052970000000001E-2</v>
      </c>
      <c r="O40" s="111">
        <v>2597.4292399999999</v>
      </c>
      <c r="P40" s="111">
        <v>1292.0938200000001</v>
      </c>
      <c r="Q40" s="105" t="s">
        <v>4</v>
      </c>
      <c r="R40" s="106">
        <v>6</v>
      </c>
      <c r="S40" s="111">
        <v>2.3291539999999999</v>
      </c>
      <c r="T40" s="111">
        <v>5.7052399999999999</v>
      </c>
      <c r="U40" s="111">
        <v>36.428232000000001</v>
      </c>
      <c r="V40" s="111">
        <v>31.838452</v>
      </c>
      <c r="W40" s="111">
        <v>1624.0480500000001</v>
      </c>
      <c r="X40" s="111">
        <v>868.00582999999995</v>
      </c>
      <c r="Y40" s="111">
        <v>0.49074864000000001</v>
      </c>
      <c r="Z40" s="111">
        <v>2.4666E-2</v>
      </c>
      <c r="AA40" s="111">
        <v>2701.7908600000001</v>
      </c>
      <c r="AB40" s="111">
        <v>1259.2515699999999</v>
      </c>
      <c r="AC40" s="111">
        <v>58.039000000000001</v>
      </c>
      <c r="AD40" s="111">
        <v>9.8199830000000006</v>
      </c>
      <c r="AE40" s="105" t="s">
        <v>4</v>
      </c>
      <c r="AF40" s="106">
        <v>6</v>
      </c>
      <c r="AG40" s="111">
        <v>3811.15517</v>
      </c>
      <c r="AH40" s="111">
        <v>1629.1632099999999</v>
      </c>
      <c r="AI40" s="105" t="s">
        <v>4</v>
      </c>
      <c r="AJ40" s="106">
        <v>6</v>
      </c>
      <c r="AK40" s="111">
        <v>13.6333333</v>
      </c>
      <c r="AL40" s="112">
        <v>0.87101472999999996</v>
      </c>
    </row>
    <row r="41" spans="1:38" x14ac:dyDescent="0.25">
      <c r="A41" s="109" t="s">
        <v>10</v>
      </c>
      <c r="B41" s="106">
        <v>6</v>
      </c>
      <c r="C41" s="111">
        <v>272</v>
      </c>
      <c r="D41" s="111">
        <v>2.1908902299999999</v>
      </c>
      <c r="E41" s="111">
        <v>4734.8103600000004</v>
      </c>
      <c r="F41" s="111">
        <v>1972.7487900000001</v>
      </c>
      <c r="G41" s="111">
        <v>2228.30051</v>
      </c>
      <c r="H41" s="111">
        <v>996.81161999999995</v>
      </c>
      <c r="I41" s="111">
        <v>0.46666733999999999</v>
      </c>
      <c r="J41" s="111">
        <v>3.4444000000000002E-2</v>
      </c>
      <c r="K41" s="105" t="s">
        <v>10</v>
      </c>
      <c r="L41" s="106">
        <v>6</v>
      </c>
      <c r="M41" s="111">
        <v>0.46788228999999998</v>
      </c>
      <c r="N41" s="111">
        <v>4.5412670000000002E-2</v>
      </c>
      <c r="O41" s="111">
        <v>2233.8731899999998</v>
      </c>
      <c r="P41" s="111">
        <v>1022.67769</v>
      </c>
      <c r="Q41" s="105" t="s">
        <v>10</v>
      </c>
      <c r="R41" s="106">
        <v>6</v>
      </c>
      <c r="S41" s="111">
        <v>0</v>
      </c>
      <c r="T41" s="111">
        <v>0</v>
      </c>
      <c r="U41" s="111">
        <v>69.435677999999996</v>
      </c>
      <c r="V41" s="111">
        <v>58.850928000000003</v>
      </c>
      <c r="W41" s="111">
        <v>1093.88769</v>
      </c>
      <c r="X41" s="111">
        <v>532.36189999999999</v>
      </c>
      <c r="Y41" s="111">
        <v>0.45812792000000002</v>
      </c>
      <c r="Z41" s="111">
        <v>3.718954E-2</v>
      </c>
      <c r="AA41" s="111">
        <v>2187.9985499999998</v>
      </c>
      <c r="AB41" s="111">
        <v>942.63311999999996</v>
      </c>
      <c r="AC41" s="111">
        <v>43.307000000000002</v>
      </c>
      <c r="AD41" s="111">
        <v>8.4772856999999995</v>
      </c>
      <c r="AE41" s="105" t="s">
        <v>10</v>
      </c>
      <c r="AF41" s="106">
        <v>6</v>
      </c>
      <c r="AG41" s="111">
        <v>3571.4869899999999</v>
      </c>
      <c r="AH41" s="111">
        <v>1393.66345</v>
      </c>
      <c r="AI41" s="105" t="s">
        <v>10</v>
      </c>
      <c r="AJ41" s="106">
        <v>5</v>
      </c>
      <c r="AK41" s="111">
        <v>14.52</v>
      </c>
      <c r="AL41" s="112">
        <v>0.59329588</v>
      </c>
    </row>
    <row r="42" spans="1:38" x14ac:dyDescent="0.25">
      <c r="A42" s="109" t="s">
        <v>13</v>
      </c>
      <c r="B42" s="106">
        <v>6</v>
      </c>
      <c r="C42" s="111">
        <v>270</v>
      </c>
      <c r="D42" s="111">
        <v>0</v>
      </c>
      <c r="E42" s="111">
        <v>5306.34573</v>
      </c>
      <c r="F42" s="111">
        <v>2050.8773900000001</v>
      </c>
      <c r="G42" s="111">
        <v>2480.7622200000001</v>
      </c>
      <c r="H42" s="111">
        <v>1012.94934</v>
      </c>
      <c r="I42" s="111">
        <v>0.46525564000000003</v>
      </c>
      <c r="J42" s="111">
        <v>1.9950809999999999E-2</v>
      </c>
      <c r="K42" s="105" t="s">
        <v>13</v>
      </c>
      <c r="L42" s="106">
        <v>6</v>
      </c>
      <c r="M42" s="111">
        <v>0.46525564000000003</v>
      </c>
      <c r="N42" s="111">
        <v>1.9950809999999999E-2</v>
      </c>
      <c r="O42" s="111">
        <v>2480.7622200000001</v>
      </c>
      <c r="P42" s="111">
        <v>1012.94934</v>
      </c>
      <c r="Q42" s="105" t="s">
        <v>11</v>
      </c>
      <c r="R42" s="106">
        <v>6</v>
      </c>
      <c r="S42" s="111">
        <v>148.06944999999999</v>
      </c>
      <c r="T42" s="111">
        <v>241.60721799999999</v>
      </c>
      <c r="U42" s="111">
        <v>8.8336170000000003</v>
      </c>
      <c r="V42" s="111">
        <v>16.291688000000001</v>
      </c>
      <c r="W42" s="111">
        <v>1459.7918999999999</v>
      </c>
      <c r="X42" s="111">
        <v>937.21681999999998</v>
      </c>
      <c r="Y42" s="111">
        <v>0.31408923999999999</v>
      </c>
      <c r="Z42" s="111">
        <v>0.14376749</v>
      </c>
      <c r="AA42" s="111">
        <v>1202.3232700000001</v>
      </c>
      <c r="AB42" s="111">
        <v>899.76941999999997</v>
      </c>
      <c r="AC42" s="111">
        <v>65.659000000000006</v>
      </c>
      <c r="AD42" s="111">
        <v>13.182330800000001</v>
      </c>
      <c r="AE42" s="105" t="s">
        <v>13</v>
      </c>
      <c r="AF42" s="106">
        <v>1</v>
      </c>
      <c r="AG42" s="111">
        <v>0</v>
      </c>
      <c r="AH42" s="111" t="s">
        <v>41</v>
      </c>
      <c r="AI42" s="105" t="s">
        <v>11</v>
      </c>
      <c r="AJ42" s="106">
        <v>6</v>
      </c>
      <c r="AK42" s="111">
        <v>15.1</v>
      </c>
      <c r="AL42" s="112">
        <v>1.7515707199999999</v>
      </c>
    </row>
    <row r="43" spans="1:38" x14ac:dyDescent="0.25">
      <c r="A43" s="109" t="s">
        <v>11</v>
      </c>
      <c r="B43" s="106">
        <v>6</v>
      </c>
      <c r="C43" s="111">
        <v>270</v>
      </c>
      <c r="D43" s="111">
        <v>0</v>
      </c>
      <c r="E43" s="111">
        <v>3916.7943100000002</v>
      </c>
      <c r="F43" s="111">
        <v>1925.3203100000001</v>
      </c>
      <c r="G43" s="111">
        <v>1146.1524400000001</v>
      </c>
      <c r="H43" s="111">
        <v>691.11122999999998</v>
      </c>
      <c r="I43" s="111">
        <v>0.29549822999999997</v>
      </c>
      <c r="J43" s="111">
        <v>7.5871980000000006E-2</v>
      </c>
      <c r="K43" s="105" t="s">
        <v>11</v>
      </c>
      <c r="L43" s="106">
        <v>6</v>
      </c>
      <c r="M43" s="111">
        <v>0.29011625000000002</v>
      </c>
      <c r="N43" s="111">
        <v>7.1564580000000003E-2</v>
      </c>
      <c r="O43" s="111">
        <v>1135.2969599999999</v>
      </c>
      <c r="P43" s="111">
        <v>693.71464000000003</v>
      </c>
      <c r="Q43" s="105" t="s">
        <v>59</v>
      </c>
      <c r="R43" s="106">
        <v>6</v>
      </c>
      <c r="S43" s="111">
        <v>0</v>
      </c>
      <c r="T43" s="111">
        <v>0</v>
      </c>
      <c r="U43" s="111">
        <v>105.78951000000001</v>
      </c>
      <c r="V43" s="111">
        <v>161.71216100000001</v>
      </c>
      <c r="W43" s="111">
        <v>1215.7848100000001</v>
      </c>
      <c r="X43" s="111">
        <v>515.72789999999998</v>
      </c>
      <c r="Y43" s="111">
        <v>0.41525062000000001</v>
      </c>
      <c r="Z43" s="111">
        <v>6.1072170000000002E-2</v>
      </c>
      <c r="AA43" s="111">
        <v>1907.7088799999999</v>
      </c>
      <c r="AB43" s="111">
        <v>1031.1950899999999</v>
      </c>
      <c r="AC43" s="111">
        <v>49.064333300000001</v>
      </c>
      <c r="AD43" s="111">
        <v>9.1177390999999997</v>
      </c>
      <c r="AE43" s="105" t="s">
        <v>11</v>
      </c>
      <c r="AF43" s="106">
        <v>6</v>
      </c>
      <c r="AG43" s="111">
        <v>2300.0993400000002</v>
      </c>
      <c r="AH43" s="111">
        <v>1201.7338400000001</v>
      </c>
      <c r="AI43" s="105" t="s">
        <v>59</v>
      </c>
      <c r="AJ43" s="106">
        <v>6</v>
      </c>
      <c r="AK43" s="111">
        <v>14.6666667</v>
      </c>
      <c r="AL43" s="112">
        <v>1.43480545</v>
      </c>
    </row>
    <row r="44" spans="1:38" x14ac:dyDescent="0.25">
      <c r="A44" s="109" t="s">
        <v>59</v>
      </c>
      <c r="B44" s="106">
        <v>6</v>
      </c>
      <c r="C44" s="111">
        <v>270</v>
      </c>
      <c r="D44" s="111">
        <v>0</v>
      </c>
      <c r="E44" s="111">
        <v>4401.4770200000003</v>
      </c>
      <c r="F44" s="111">
        <v>1949.12462</v>
      </c>
      <c r="G44" s="111">
        <v>1926.33115</v>
      </c>
      <c r="H44" s="111">
        <v>1041.7156199999999</v>
      </c>
      <c r="I44" s="111">
        <v>0.41972659000000001</v>
      </c>
      <c r="J44" s="111">
        <v>5.604862E-2</v>
      </c>
      <c r="K44" s="105" t="s">
        <v>59</v>
      </c>
      <c r="L44" s="106">
        <v>6</v>
      </c>
      <c r="M44" s="111">
        <v>0.42152633</v>
      </c>
      <c r="N44" s="111">
        <v>5.4088669999999998E-2</v>
      </c>
      <c r="O44" s="111">
        <v>1931.53368</v>
      </c>
      <c r="P44" s="111">
        <v>1040.0423900000001</v>
      </c>
      <c r="Q44" s="105" t="s">
        <v>60</v>
      </c>
      <c r="R44" s="106">
        <v>6</v>
      </c>
      <c r="S44" s="111">
        <v>59.500191999999998</v>
      </c>
      <c r="T44" s="111">
        <v>81.319299999999998</v>
      </c>
      <c r="U44" s="111">
        <v>0</v>
      </c>
      <c r="V44" s="111">
        <v>0</v>
      </c>
      <c r="W44" s="111">
        <v>1747.7751599999999</v>
      </c>
      <c r="X44" s="111">
        <v>1235.87473</v>
      </c>
      <c r="Y44" s="111">
        <v>0.48834071000000001</v>
      </c>
      <c r="Z44" s="111">
        <v>3.8813159999999999E-2</v>
      </c>
      <c r="AA44" s="111">
        <v>2492.1531799999998</v>
      </c>
      <c r="AB44" s="111">
        <v>1277.2406900000001</v>
      </c>
      <c r="AC44" s="111">
        <v>79.756</v>
      </c>
      <c r="AD44" s="111">
        <v>18.854945399999998</v>
      </c>
      <c r="AE44" s="105" t="s">
        <v>59</v>
      </c>
      <c r="AF44" s="106">
        <v>6</v>
      </c>
      <c r="AG44" s="111">
        <v>3079.9027099999998</v>
      </c>
      <c r="AH44" s="111">
        <v>1549.1027300000001</v>
      </c>
      <c r="AI44" s="105" t="s">
        <v>60</v>
      </c>
      <c r="AJ44" s="106">
        <v>6</v>
      </c>
      <c r="AK44" s="111">
        <v>18.7</v>
      </c>
      <c r="AL44" s="112">
        <v>1.4628738800000001</v>
      </c>
    </row>
    <row r="45" spans="1:38" x14ac:dyDescent="0.25">
      <c r="A45" s="109" t="s">
        <v>60</v>
      </c>
      <c r="B45" s="106">
        <v>6</v>
      </c>
      <c r="C45" s="111">
        <v>280.5</v>
      </c>
      <c r="D45" s="111">
        <v>7.1203932500000002</v>
      </c>
      <c r="E45" s="111">
        <v>5251.22174</v>
      </c>
      <c r="F45" s="111">
        <v>2936.39102</v>
      </c>
      <c r="G45" s="111">
        <v>2334.60977</v>
      </c>
      <c r="H45" s="111">
        <v>1315.0101099999999</v>
      </c>
      <c r="I45" s="111">
        <v>0.45535428999999999</v>
      </c>
      <c r="J45" s="111">
        <v>4.1386119999999998E-2</v>
      </c>
      <c r="K45" s="105" t="s">
        <v>60</v>
      </c>
      <c r="L45" s="106">
        <v>5</v>
      </c>
      <c r="M45" s="111">
        <v>0.43637722000000001</v>
      </c>
      <c r="N45" s="111">
        <v>4.0209729999999999E-2</v>
      </c>
      <c r="O45" s="111">
        <v>2707.6896999999999</v>
      </c>
      <c r="P45" s="111">
        <v>977.33051</v>
      </c>
      <c r="Q45" s="105" t="s">
        <v>61</v>
      </c>
      <c r="R45" s="106">
        <v>6</v>
      </c>
      <c r="S45" s="111">
        <v>22.445802</v>
      </c>
      <c r="T45" s="111">
        <v>54.980761999999999</v>
      </c>
      <c r="U45" s="111">
        <v>0</v>
      </c>
      <c r="V45" s="111">
        <v>0</v>
      </c>
      <c r="W45" s="111">
        <v>2138.8854500000002</v>
      </c>
      <c r="X45" s="111">
        <v>1115.9260099999999</v>
      </c>
      <c r="Y45" s="111">
        <v>0.47371046</v>
      </c>
      <c r="Z45" s="111">
        <v>4.7277670000000001E-2</v>
      </c>
      <c r="AA45" s="111">
        <v>2968.9131400000001</v>
      </c>
      <c r="AB45" s="111">
        <v>1235.32392</v>
      </c>
      <c r="AC45" s="111">
        <v>81.872666699999996</v>
      </c>
      <c r="AD45" s="111">
        <v>20.4274542</v>
      </c>
      <c r="AE45" s="105" t="s">
        <v>60</v>
      </c>
      <c r="AF45" s="106">
        <v>6</v>
      </c>
      <c r="AG45" s="111">
        <v>3443.9463799999999</v>
      </c>
      <c r="AH45" s="111">
        <v>1697.50377</v>
      </c>
      <c r="AI45" s="105" t="s">
        <v>61</v>
      </c>
      <c r="AJ45" s="106">
        <v>6</v>
      </c>
      <c r="AK45" s="111">
        <v>20.100000000000001</v>
      </c>
      <c r="AL45" s="112">
        <v>3.4888393500000001</v>
      </c>
    </row>
    <row r="46" spans="1:38" x14ac:dyDescent="0.25">
      <c r="A46" s="109" t="s">
        <v>62</v>
      </c>
      <c r="B46" s="106">
        <v>6</v>
      </c>
      <c r="C46" s="111">
        <v>287</v>
      </c>
      <c r="D46" s="111">
        <v>3.2863353499999999</v>
      </c>
      <c r="E46" s="111">
        <v>6265.49964</v>
      </c>
      <c r="F46" s="111">
        <v>2320.1080200000001</v>
      </c>
      <c r="G46" s="111">
        <v>2985.0474100000001</v>
      </c>
      <c r="H46" s="111">
        <v>1033.11088</v>
      </c>
      <c r="I46" s="111">
        <v>0.48016027</v>
      </c>
      <c r="J46" s="111">
        <v>2.0783099999999999E-2</v>
      </c>
      <c r="K46" s="105" t="s">
        <v>62</v>
      </c>
      <c r="L46" s="106">
        <v>6</v>
      </c>
      <c r="M46" s="111">
        <v>0.48016027</v>
      </c>
      <c r="N46" s="111">
        <v>2.0783099999999999E-2</v>
      </c>
      <c r="O46" s="111">
        <v>2985.0474100000001</v>
      </c>
      <c r="P46" s="111">
        <v>1033.11088</v>
      </c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05" t="s">
        <v>61</v>
      </c>
      <c r="AF46" s="106">
        <v>6</v>
      </c>
      <c r="AG46" s="111">
        <v>4157.4506600000004</v>
      </c>
      <c r="AH46" s="111">
        <v>1530.8429100000001</v>
      </c>
      <c r="AI46" s="113"/>
      <c r="AJ46" s="113"/>
      <c r="AK46" s="113"/>
      <c r="AL46" s="114"/>
    </row>
    <row r="47" spans="1:38" x14ac:dyDescent="0.25">
      <c r="A47" s="109" t="s">
        <v>63</v>
      </c>
      <c r="B47" s="106">
        <v>6</v>
      </c>
      <c r="C47" s="111">
        <v>284.83333299999998</v>
      </c>
      <c r="D47" s="111">
        <v>2.7868740000000001</v>
      </c>
      <c r="E47" s="111">
        <v>6580.0510599999998</v>
      </c>
      <c r="F47" s="111">
        <v>3419.1302700000001</v>
      </c>
      <c r="G47" s="111">
        <v>3025.2552900000001</v>
      </c>
      <c r="H47" s="111">
        <v>1777.2083600000001</v>
      </c>
      <c r="I47" s="111">
        <v>0.44393500000000002</v>
      </c>
      <c r="J47" s="111">
        <v>5.1291870000000003E-2</v>
      </c>
      <c r="K47" s="105" t="s">
        <v>63</v>
      </c>
      <c r="L47" s="106">
        <v>6</v>
      </c>
      <c r="M47" s="111">
        <v>0.44393500000000002</v>
      </c>
      <c r="N47" s="111">
        <v>5.1291870000000003E-2</v>
      </c>
      <c r="O47" s="111">
        <v>3025.2552900000001</v>
      </c>
      <c r="P47" s="111">
        <v>1777.2083600000001</v>
      </c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4"/>
    </row>
    <row r="48" spans="1:38" x14ac:dyDescent="0.25">
      <c r="A48" s="109" t="s">
        <v>64</v>
      </c>
      <c r="B48" s="106">
        <v>6</v>
      </c>
      <c r="C48" s="111">
        <v>287</v>
      </c>
      <c r="D48" s="111">
        <v>3.2863353499999999</v>
      </c>
      <c r="E48" s="111">
        <v>6017.5054700000001</v>
      </c>
      <c r="F48" s="111">
        <v>2331.53719</v>
      </c>
      <c r="G48" s="111">
        <v>2579.9598799999999</v>
      </c>
      <c r="H48" s="111">
        <v>1047.02637</v>
      </c>
      <c r="I48" s="111">
        <v>0.42640007000000002</v>
      </c>
      <c r="J48" s="111">
        <v>1.8615619999999999E-2</v>
      </c>
      <c r="K48" s="105" t="s">
        <v>64</v>
      </c>
      <c r="L48" s="106">
        <v>6</v>
      </c>
      <c r="M48" s="111">
        <v>0.42640007000000002</v>
      </c>
      <c r="N48" s="111">
        <v>1.8615619999999999E-2</v>
      </c>
      <c r="O48" s="111">
        <v>2579.9598799999999</v>
      </c>
      <c r="P48" s="111">
        <v>1047.02637</v>
      </c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4"/>
    </row>
    <row r="49" spans="1:38" x14ac:dyDescent="0.25">
      <c r="A49" s="109" t="s">
        <v>61</v>
      </c>
      <c r="B49" s="106">
        <v>6</v>
      </c>
      <c r="C49" s="111">
        <v>282</v>
      </c>
      <c r="D49" s="111">
        <v>8.7635609199999998</v>
      </c>
      <c r="E49" s="111">
        <v>6318.7819099999997</v>
      </c>
      <c r="F49" s="111">
        <v>2594.6684300000002</v>
      </c>
      <c r="G49" s="111">
        <v>2864.97082</v>
      </c>
      <c r="H49" s="111">
        <v>1240.37481</v>
      </c>
      <c r="I49" s="111">
        <v>0.44924245000000002</v>
      </c>
      <c r="J49" s="111">
        <v>2.3621820000000002E-2</v>
      </c>
      <c r="K49" s="105" t="s">
        <v>61</v>
      </c>
      <c r="L49" s="106">
        <v>6</v>
      </c>
      <c r="M49" s="111">
        <v>0.44500604999999999</v>
      </c>
      <c r="N49" s="111">
        <v>2.8107170000000001E-2</v>
      </c>
      <c r="O49" s="111">
        <v>2849.85401</v>
      </c>
      <c r="P49" s="111">
        <v>1255.72801</v>
      </c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4"/>
    </row>
    <row r="50" spans="1:38" x14ac:dyDescent="0.25">
      <c r="A50" s="115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4"/>
    </row>
    <row r="51" spans="1:38" ht="15.75" thickBot="1" x14ac:dyDescent="0.3">
      <c r="A51" s="116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8"/>
    </row>
    <row r="54" spans="1:38" ht="15.75" thickBot="1" x14ac:dyDescent="0.3"/>
    <row r="55" spans="1:38" x14ac:dyDescent="0.25">
      <c r="A55" s="216" t="s">
        <v>88</v>
      </c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5"/>
    </row>
    <row r="56" spans="1:38" x14ac:dyDescent="0.25">
      <c r="A56" s="217" t="s">
        <v>89</v>
      </c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8"/>
    </row>
    <row r="57" spans="1:38" x14ac:dyDescent="0.25">
      <c r="A57" s="217" t="s">
        <v>90</v>
      </c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8"/>
    </row>
    <row r="58" spans="1:38" ht="25.5" x14ac:dyDescent="0.25">
      <c r="A58" s="109"/>
      <c r="B58" s="106" t="s">
        <v>75</v>
      </c>
      <c r="C58" s="106" t="s">
        <v>78</v>
      </c>
      <c r="D58" s="106" t="s">
        <v>29</v>
      </c>
      <c r="E58" s="106" t="s">
        <v>30</v>
      </c>
      <c r="F58" s="106" t="s">
        <v>31</v>
      </c>
      <c r="G58" s="106" t="s">
        <v>32</v>
      </c>
      <c r="H58" s="106" t="s">
        <v>33</v>
      </c>
      <c r="I58" s="106" t="s">
        <v>82</v>
      </c>
      <c r="J58" s="106" t="s">
        <v>84</v>
      </c>
      <c r="K58" s="106" t="s">
        <v>36</v>
      </c>
      <c r="L58" s="106" t="s">
        <v>79</v>
      </c>
      <c r="M58" s="106" t="s">
        <v>80</v>
      </c>
      <c r="N58" s="106" t="s">
        <v>83</v>
      </c>
      <c r="O58" s="110" t="s">
        <v>85</v>
      </c>
    </row>
    <row r="59" spans="1:38" x14ac:dyDescent="0.25">
      <c r="A59" s="217" t="s">
        <v>75</v>
      </c>
      <c r="B59" s="119">
        <v>1</v>
      </c>
      <c r="C59" s="119">
        <v>0.61095999999999995</v>
      </c>
      <c r="D59" s="120">
        <v>-6.6089999999999996E-2</v>
      </c>
      <c r="E59" s="120">
        <v>-0.25886999999999999</v>
      </c>
      <c r="F59" s="119">
        <v>0.62329000000000001</v>
      </c>
      <c r="G59" s="119">
        <v>0.67803999999999998</v>
      </c>
      <c r="H59" s="119">
        <v>0.39540999999999998</v>
      </c>
      <c r="I59" s="119">
        <v>0.72152000000000005</v>
      </c>
      <c r="J59" s="119">
        <v>0.39724999999999999</v>
      </c>
      <c r="K59" s="119">
        <v>0.62572000000000005</v>
      </c>
      <c r="L59" s="119">
        <v>0.63010999999999995</v>
      </c>
      <c r="M59" s="119">
        <v>0.38333</v>
      </c>
      <c r="N59" s="119">
        <v>0.65151000000000003</v>
      </c>
      <c r="O59" s="121">
        <v>0.40788999999999997</v>
      </c>
    </row>
    <row r="60" spans="1:38" x14ac:dyDescent="0.25">
      <c r="A60" s="217"/>
      <c r="B60" s="119"/>
      <c r="C60" s="119" t="s">
        <v>54</v>
      </c>
      <c r="D60" s="119">
        <v>0.65539999999999998</v>
      </c>
      <c r="E60" s="119">
        <v>7.5600000000000001E-2</v>
      </c>
      <c r="F60" s="119" t="s">
        <v>54</v>
      </c>
      <c r="G60" s="119" t="s">
        <v>54</v>
      </c>
      <c r="H60" s="119">
        <v>5.4000000000000003E-3</v>
      </c>
      <c r="I60" s="119" t="s">
        <v>54</v>
      </c>
      <c r="J60" s="119">
        <v>5.9999999999999995E-4</v>
      </c>
      <c r="K60" s="119" t="s">
        <v>54</v>
      </c>
      <c r="L60" s="119" t="s">
        <v>54</v>
      </c>
      <c r="M60" s="119">
        <v>8.9999999999999998E-4</v>
      </c>
      <c r="N60" s="119" t="s">
        <v>54</v>
      </c>
      <c r="O60" s="121">
        <v>4.4000000000000003E-3</v>
      </c>
    </row>
    <row r="61" spans="1:38" x14ac:dyDescent="0.25">
      <c r="A61" s="217"/>
      <c r="B61" s="119">
        <v>72</v>
      </c>
      <c r="C61" s="119">
        <v>72</v>
      </c>
      <c r="D61" s="119">
        <v>48</v>
      </c>
      <c r="E61" s="119">
        <v>48</v>
      </c>
      <c r="F61" s="119">
        <v>48</v>
      </c>
      <c r="G61" s="119">
        <v>49</v>
      </c>
      <c r="H61" s="119">
        <v>48</v>
      </c>
      <c r="I61" s="119">
        <v>48</v>
      </c>
      <c r="J61" s="119">
        <v>71</v>
      </c>
      <c r="K61" s="119">
        <v>71</v>
      </c>
      <c r="L61" s="119">
        <v>72</v>
      </c>
      <c r="M61" s="119">
        <v>72</v>
      </c>
      <c r="N61" s="119">
        <v>48</v>
      </c>
      <c r="O61" s="121">
        <v>47</v>
      </c>
    </row>
    <row r="62" spans="1:38" x14ac:dyDescent="0.25">
      <c r="A62" s="217" t="s">
        <v>78</v>
      </c>
      <c r="B62" s="119">
        <v>0.61095999999999995</v>
      </c>
      <c r="C62" s="119">
        <v>1</v>
      </c>
      <c r="D62" s="119">
        <v>0.10446999999999999</v>
      </c>
      <c r="E62" s="120">
        <v>-0.20105999999999999</v>
      </c>
      <c r="F62" s="119">
        <v>0.89254</v>
      </c>
      <c r="G62" s="119">
        <v>0.95177999999999996</v>
      </c>
      <c r="H62" s="119">
        <v>0.18842</v>
      </c>
      <c r="I62" s="119">
        <v>0.93413999999999997</v>
      </c>
      <c r="J62" s="119">
        <v>0.41092000000000001</v>
      </c>
      <c r="K62" s="119">
        <v>0.97472999999999999</v>
      </c>
      <c r="L62" s="119">
        <v>0.97623000000000004</v>
      </c>
      <c r="M62" s="119">
        <v>0.34577000000000002</v>
      </c>
      <c r="N62" s="119">
        <v>0.74451999999999996</v>
      </c>
      <c r="O62" s="121">
        <v>0.40599000000000002</v>
      </c>
    </row>
    <row r="63" spans="1:38" x14ac:dyDescent="0.25">
      <c r="A63" s="217"/>
      <c r="B63" s="119" t="s">
        <v>54</v>
      </c>
      <c r="C63" s="119"/>
      <c r="D63" s="119">
        <v>0.4798</v>
      </c>
      <c r="E63" s="119">
        <v>0.1706</v>
      </c>
      <c r="F63" s="119" t="s">
        <v>54</v>
      </c>
      <c r="G63" s="119" t="s">
        <v>54</v>
      </c>
      <c r="H63" s="119">
        <v>0.19969999999999999</v>
      </c>
      <c r="I63" s="119" t="s">
        <v>54</v>
      </c>
      <c r="J63" s="119">
        <v>4.0000000000000002E-4</v>
      </c>
      <c r="K63" s="119" t="s">
        <v>54</v>
      </c>
      <c r="L63" s="119" t="s">
        <v>54</v>
      </c>
      <c r="M63" s="119">
        <v>2.8999999999999998E-3</v>
      </c>
      <c r="N63" s="119" t="s">
        <v>54</v>
      </c>
      <c r="O63" s="121">
        <v>4.5999999999999999E-3</v>
      </c>
    </row>
    <row r="64" spans="1:38" x14ac:dyDescent="0.25">
      <c r="A64" s="217"/>
      <c r="B64" s="119">
        <v>72</v>
      </c>
      <c r="C64" s="119">
        <v>72</v>
      </c>
      <c r="D64" s="119">
        <v>48</v>
      </c>
      <c r="E64" s="119">
        <v>48</v>
      </c>
      <c r="F64" s="119">
        <v>48</v>
      </c>
      <c r="G64" s="119">
        <v>49</v>
      </c>
      <c r="H64" s="119">
        <v>48</v>
      </c>
      <c r="I64" s="119">
        <v>48</v>
      </c>
      <c r="J64" s="119">
        <v>71</v>
      </c>
      <c r="K64" s="119">
        <v>71</v>
      </c>
      <c r="L64" s="119">
        <v>72</v>
      </c>
      <c r="M64" s="119">
        <v>72</v>
      </c>
      <c r="N64" s="119">
        <v>48</v>
      </c>
      <c r="O64" s="121">
        <v>47</v>
      </c>
    </row>
    <row r="65" spans="1:15" x14ac:dyDescent="0.25">
      <c r="A65" s="217" t="s">
        <v>29</v>
      </c>
      <c r="B65" s="120">
        <v>-6.6089999999999996E-2</v>
      </c>
      <c r="C65" s="119">
        <v>0.10446999999999999</v>
      </c>
      <c r="D65" s="119">
        <v>1</v>
      </c>
      <c r="E65" s="120">
        <v>-7.1370000000000003E-2</v>
      </c>
      <c r="F65" s="119">
        <v>0.39798</v>
      </c>
      <c r="G65" s="120">
        <v>-9.8739999999999994E-2</v>
      </c>
      <c r="H65" s="120">
        <v>-0.65375000000000005</v>
      </c>
      <c r="I65" s="120">
        <v>-0.13038</v>
      </c>
      <c r="J65" s="120">
        <v>-0.49782999999999999</v>
      </c>
      <c r="K65" s="120">
        <v>-7.1730000000000002E-2</v>
      </c>
      <c r="L65" s="120">
        <v>-7.5719999999999996E-2</v>
      </c>
      <c r="M65" s="120">
        <v>-0.58043</v>
      </c>
      <c r="N65" s="119">
        <v>0.32772000000000001</v>
      </c>
      <c r="O65" s="121">
        <v>7.8200000000000006E-3</v>
      </c>
    </row>
    <row r="66" spans="1:15" x14ac:dyDescent="0.25">
      <c r="A66" s="217"/>
      <c r="B66" s="119">
        <v>0.65539999999999998</v>
      </c>
      <c r="C66" s="119">
        <v>0.4798</v>
      </c>
      <c r="D66" s="119"/>
      <c r="E66" s="119">
        <v>0.62980000000000003</v>
      </c>
      <c r="F66" s="119">
        <v>5.1000000000000004E-3</v>
      </c>
      <c r="G66" s="119">
        <v>0.50429999999999997</v>
      </c>
      <c r="H66" s="119" t="s">
        <v>54</v>
      </c>
      <c r="I66" s="119">
        <v>0.37709999999999999</v>
      </c>
      <c r="J66" s="119">
        <v>4.0000000000000002E-4</v>
      </c>
      <c r="K66" s="119">
        <v>0.63190000000000002</v>
      </c>
      <c r="L66" s="119">
        <v>0.60899999999999999</v>
      </c>
      <c r="M66" s="119" t="s">
        <v>54</v>
      </c>
      <c r="N66" s="119">
        <v>2.3E-2</v>
      </c>
      <c r="O66" s="121">
        <v>0.95840000000000003</v>
      </c>
    </row>
    <row r="67" spans="1:15" x14ac:dyDescent="0.25">
      <c r="A67" s="217"/>
      <c r="B67" s="119">
        <v>48</v>
      </c>
      <c r="C67" s="119">
        <v>48</v>
      </c>
      <c r="D67" s="119">
        <v>48</v>
      </c>
      <c r="E67" s="119">
        <v>48</v>
      </c>
      <c r="F67" s="119">
        <v>48</v>
      </c>
      <c r="G67" s="119">
        <v>48</v>
      </c>
      <c r="H67" s="119">
        <v>48</v>
      </c>
      <c r="I67" s="119">
        <v>48</v>
      </c>
      <c r="J67" s="119">
        <v>47</v>
      </c>
      <c r="K67" s="119">
        <v>47</v>
      </c>
      <c r="L67" s="119">
        <v>48</v>
      </c>
      <c r="M67" s="119">
        <v>48</v>
      </c>
      <c r="N67" s="119">
        <v>48</v>
      </c>
      <c r="O67" s="121">
        <v>47</v>
      </c>
    </row>
    <row r="68" spans="1:15" x14ac:dyDescent="0.25">
      <c r="A68" s="217" t="s">
        <v>30</v>
      </c>
      <c r="B68" s="120">
        <v>-0.25886999999999999</v>
      </c>
      <c r="C68" s="120">
        <v>-0.20105999999999999</v>
      </c>
      <c r="D68" s="120">
        <v>-7.1370000000000003E-2</v>
      </c>
      <c r="E68" s="119">
        <v>1</v>
      </c>
      <c r="F68" s="120">
        <v>-0.19900000000000001</v>
      </c>
      <c r="G68" s="120">
        <v>-0.21967999999999999</v>
      </c>
      <c r="H68" s="120">
        <v>-0.23829</v>
      </c>
      <c r="I68" s="120">
        <v>-0.22770000000000001</v>
      </c>
      <c r="J68" s="120">
        <v>-0.13213</v>
      </c>
      <c r="K68" s="120">
        <v>-0.21435000000000001</v>
      </c>
      <c r="L68" s="120">
        <v>-0.2026</v>
      </c>
      <c r="M68" s="120">
        <v>-0.18828</v>
      </c>
      <c r="N68" s="120">
        <v>-0.34464</v>
      </c>
      <c r="O68" s="122">
        <v>-0.36520999999999998</v>
      </c>
    </row>
    <row r="69" spans="1:15" x14ac:dyDescent="0.25">
      <c r="A69" s="217"/>
      <c r="B69" s="119">
        <v>7.5600000000000001E-2</v>
      </c>
      <c r="C69" s="119">
        <v>0.1706</v>
      </c>
      <c r="D69" s="119">
        <v>0.62980000000000003</v>
      </c>
      <c r="E69" s="119"/>
      <c r="F69" s="119">
        <v>0.17510000000000001</v>
      </c>
      <c r="G69" s="119">
        <v>0.1336</v>
      </c>
      <c r="H69" s="119">
        <v>0.10290000000000001</v>
      </c>
      <c r="I69" s="119">
        <v>0.1196</v>
      </c>
      <c r="J69" s="119">
        <v>0.376</v>
      </c>
      <c r="K69" s="119">
        <v>0.1479</v>
      </c>
      <c r="L69" s="119">
        <v>0.1673</v>
      </c>
      <c r="M69" s="119">
        <v>0.2</v>
      </c>
      <c r="N69" s="119">
        <v>1.6400000000000001E-2</v>
      </c>
      <c r="O69" s="121">
        <v>1.1599999999999999E-2</v>
      </c>
    </row>
    <row r="70" spans="1:15" x14ac:dyDescent="0.25">
      <c r="A70" s="217"/>
      <c r="B70" s="119">
        <v>48</v>
      </c>
      <c r="C70" s="119">
        <v>48</v>
      </c>
      <c r="D70" s="119">
        <v>48</v>
      </c>
      <c r="E70" s="119">
        <v>48</v>
      </c>
      <c r="F70" s="119">
        <v>48</v>
      </c>
      <c r="G70" s="119">
        <v>48</v>
      </c>
      <c r="H70" s="119">
        <v>48</v>
      </c>
      <c r="I70" s="119">
        <v>48</v>
      </c>
      <c r="J70" s="119">
        <v>47</v>
      </c>
      <c r="K70" s="119">
        <v>47</v>
      </c>
      <c r="L70" s="119">
        <v>48</v>
      </c>
      <c r="M70" s="119">
        <v>48</v>
      </c>
      <c r="N70" s="119">
        <v>48</v>
      </c>
      <c r="O70" s="121">
        <v>47</v>
      </c>
    </row>
    <row r="71" spans="1:15" x14ac:dyDescent="0.25">
      <c r="A71" s="217" t="s">
        <v>31</v>
      </c>
      <c r="B71" s="119">
        <v>0.62329000000000001</v>
      </c>
      <c r="C71" s="119">
        <v>0.89254</v>
      </c>
      <c r="D71" s="119">
        <v>0.39798</v>
      </c>
      <c r="E71" s="120">
        <v>-0.19900000000000001</v>
      </c>
      <c r="F71" s="119">
        <v>1</v>
      </c>
      <c r="G71" s="119">
        <v>0.74746000000000001</v>
      </c>
      <c r="H71" s="120">
        <v>-9.4850000000000004E-2</v>
      </c>
      <c r="I71" s="119">
        <v>0.73982000000000003</v>
      </c>
      <c r="J71" s="119">
        <v>0.17842</v>
      </c>
      <c r="K71" s="119">
        <v>0.79027000000000003</v>
      </c>
      <c r="L71" s="119">
        <v>0.79471000000000003</v>
      </c>
      <c r="M71" s="119">
        <v>8.1559999999999994E-2</v>
      </c>
      <c r="N71" s="119">
        <v>0.84741999999999995</v>
      </c>
      <c r="O71" s="121">
        <v>0.45810000000000001</v>
      </c>
    </row>
    <row r="72" spans="1:15" x14ac:dyDescent="0.25">
      <c r="A72" s="217"/>
      <c r="B72" s="119" t="s">
        <v>54</v>
      </c>
      <c r="C72" s="119" t="s">
        <v>54</v>
      </c>
      <c r="D72" s="119">
        <v>5.1000000000000004E-3</v>
      </c>
      <c r="E72" s="119">
        <v>0.17510000000000001</v>
      </c>
      <c r="F72" s="119"/>
      <c r="G72" s="119" t="s">
        <v>54</v>
      </c>
      <c r="H72" s="119">
        <v>0.52129999999999999</v>
      </c>
      <c r="I72" s="119" t="s">
        <v>54</v>
      </c>
      <c r="J72" s="119">
        <v>0.23019999999999999</v>
      </c>
      <c r="K72" s="119" t="s">
        <v>54</v>
      </c>
      <c r="L72" s="119" t="s">
        <v>54</v>
      </c>
      <c r="M72" s="119">
        <v>0.58160000000000001</v>
      </c>
      <c r="N72" s="119" t="s">
        <v>54</v>
      </c>
      <c r="O72" s="121">
        <v>1.1999999999999999E-3</v>
      </c>
    </row>
    <row r="73" spans="1:15" x14ac:dyDescent="0.25">
      <c r="A73" s="217"/>
      <c r="B73" s="119">
        <v>48</v>
      </c>
      <c r="C73" s="119">
        <v>48</v>
      </c>
      <c r="D73" s="119">
        <v>48</v>
      </c>
      <c r="E73" s="119">
        <v>48</v>
      </c>
      <c r="F73" s="119">
        <v>48</v>
      </c>
      <c r="G73" s="119">
        <v>48</v>
      </c>
      <c r="H73" s="119">
        <v>48</v>
      </c>
      <c r="I73" s="119">
        <v>48</v>
      </c>
      <c r="J73" s="119">
        <v>47</v>
      </c>
      <c r="K73" s="119">
        <v>47</v>
      </c>
      <c r="L73" s="119">
        <v>48</v>
      </c>
      <c r="M73" s="119">
        <v>48</v>
      </c>
      <c r="N73" s="119">
        <v>48</v>
      </c>
      <c r="O73" s="121">
        <v>47</v>
      </c>
    </row>
    <row r="74" spans="1:15" x14ac:dyDescent="0.25">
      <c r="A74" s="217" t="s">
        <v>32</v>
      </c>
      <c r="B74" s="119">
        <v>0.67803999999999998</v>
      </c>
      <c r="C74" s="119">
        <v>0.95177999999999996</v>
      </c>
      <c r="D74" s="120">
        <v>-9.8739999999999994E-2</v>
      </c>
      <c r="E74" s="120">
        <v>-0.21967999999999999</v>
      </c>
      <c r="F74" s="119">
        <v>0.74746000000000001</v>
      </c>
      <c r="G74" s="119">
        <v>1</v>
      </c>
      <c r="H74" s="119">
        <v>0.35404999999999998</v>
      </c>
      <c r="I74" s="119">
        <v>0.96164000000000005</v>
      </c>
      <c r="J74" s="119">
        <v>0.52878999999999998</v>
      </c>
      <c r="K74" s="119">
        <v>0.95565</v>
      </c>
      <c r="L74" s="119">
        <v>0.96450999999999998</v>
      </c>
      <c r="M74" s="119">
        <v>0.47151999999999999</v>
      </c>
      <c r="N74" s="119">
        <v>0.62431999999999999</v>
      </c>
      <c r="O74" s="121">
        <v>0.35736000000000001</v>
      </c>
    </row>
    <row r="75" spans="1:15" x14ac:dyDescent="0.25">
      <c r="A75" s="217"/>
      <c r="B75" s="119" t="s">
        <v>54</v>
      </c>
      <c r="C75" s="119" t="s">
        <v>54</v>
      </c>
      <c r="D75" s="119">
        <v>0.50429999999999997</v>
      </c>
      <c r="E75" s="119">
        <v>0.1336</v>
      </c>
      <c r="F75" s="119" t="s">
        <v>54</v>
      </c>
      <c r="G75" s="119"/>
      <c r="H75" s="119">
        <v>1.3599999999999999E-2</v>
      </c>
      <c r="I75" s="119" t="s">
        <v>54</v>
      </c>
      <c r="J75" s="119">
        <v>1E-4</v>
      </c>
      <c r="K75" s="119" t="s">
        <v>54</v>
      </c>
      <c r="L75" s="119" t="s">
        <v>54</v>
      </c>
      <c r="M75" s="119">
        <v>5.9999999999999995E-4</v>
      </c>
      <c r="N75" s="119" t="s">
        <v>54</v>
      </c>
      <c r="O75" s="121">
        <v>1.37E-2</v>
      </c>
    </row>
    <row r="76" spans="1:15" x14ac:dyDescent="0.25">
      <c r="A76" s="217"/>
      <c r="B76" s="119">
        <v>49</v>
      </c>
      <c r="C76" s="119">
        <v>49</v>
      </c>
      <c r="D76" s="119">
        <v>48</v>
      </c>
      <c r="E76" s="119">
        <v>48</v>
      </c>
      <c r="F76" s="119">
        <v>48</v>
      </c>
      <c r="G76" s="119">
        <v>49</v>
      </c>
      <c r="H76" s="119">
        <v>48</v>
      </c>
      <c r="I76" s="119">
        <v>48</v>
      </c>
      <c r="J76" s="119">
        <v>48</v>
      </c>
      <c r="K76" s="119">
        <v>48</v>
      </c>
      <c r="L76" s="119">
        <v>49</v>
      </c>
      <c r="M76" s="119">
        <v>49</v>
      </c>
      <c r="N76" s="119">
        <v>48</v>
      </c>
      <c r="O76" s="121">
        <v>47</v>
      </c>
    </row>
    <row r="77" spans="1:15" x14ac:dyDescent="0.25">
      <c r="A77" s="217" t="s">
        <v>33</v>
      </c>
      <c r="B77" s="119">
        <v>0.39540999999999998</v>
      </c>
      <c r="C77" s="119">
        <v>0.18842</v>
      </c>
      <c r="D77" s="120">
        <v>-0.65375000000000005</v>
      </c>
      <c r="E77" s="120">
        <v>-0.23829</v>
      </c>
      <c r="F77" s="120">
        <v>-9.4850000000000004E-2</v>
      </c>
      <c r="G77" s="119">
        <v>0.35404999999999998</v>
      </c>
      <c r="H77" s="119">
        <v>1</v>
      </c>
      <c r="I77" s="119">
        <v>0.49519000000000002</v>
      </c>
      <c r="J77" s="119">
        <v>0.63114999999999999</v>
      </c>
      <c r="K77" s="119">
        <v>0.33649000000000001</v>
      </c>
      <c r="L77" s="119">
        <v>0.33845999999999998</v>
      </c>
      <c r="M77" s="119">
        <v>0.75780000000000003</v>
      </c>
      <c r="N77" s="120">
        <v>-5.47E-3</v>
      </c>
      <c r="O77" s="121">
        <v>9.2789999999999997E-2</v>
      </c>
    </row>
    <row r="78" spans="1:15" x14ac:dyDescent="0.25">
      <c r="A78" s="217"/>
      <c r="B78" s="119">
        <v>5.4000000000000003E-3</v>
      </c>
      <c r="C78" s="119">
        <v>0.19969999999999999</v>
      </c>
      <c r="D78" s="119" t="s">
        <v>54</v>
      </c>
      <c r="E78" s="119">
        <v>0.10290000000000001</v>
      </c>
      <c r="F78" s="119">
        <v>0.52129999999999999</v>
      </c>
      <c r="G78" s="119">
        <v>1.3599999999999999E-2</v>
      </c>
      <c r="H78" s="119"/>
      <c r="I78" s="119">
        <v>2.9999999999999997E-4</v>
      </c>
      <c r="J78" s="119" t="s">
        <v>54</v>
      </c>
      <c r="K78" s="119">
        <v>2.07E-2</v>
      </c>
      <c r="L78" s="119">
        <v>1.8599999999999998E-2</v>
      </c>
      <c r="M78" s="119" t="s">
        <v>54</v>
      </c>
      <c r="N78" s="119">
        <v>0.97060000000000002</v>
      </c>
      <c r="O78" s="121">
        <v>0.53500000000000003</v>
      </c>
    </row>
    <row r="79" spans="1:15" x14ac:dyDescent="0.25">
      <c r="A79" s="217"/>
      <c r="B79" s="119">
        <v>48</v>
      </c>
      <c r="C79" s="119">
        <v>48</v>
      </c>
      <c r="D79" s="119">
        <v>48</v>
      </c>
      <c r="E79" s="119">
        <v>48</v>
      </c>
      <c r="F79" s="119">
        <v>48</v>
      </c>
      <c r="G79" s="119">
        <v>48</v>
      </c>
      <c r="H79" s="119">
        <v>48</v>
      </c>
      <c r="I79" s="119">
        <v>48</v>
      </c>
      <c r="J79" s="119">
        <v>47</v>
      </c>
      <c r="K79" s="119">
        <v>47</v>
      </c>
      <c r="L79" s="119">
        <v>48</v>
      </c>
      <c r="M79" s="119">
        <v>48</v>
      </c>
      <c r="N79" s="119">
        <v>48</v>
      </c>
      <c r="O79" s="121">
        <v>47</v>
      </c>
    </row>
    <row r="80" spans="1:15" x14ac:dyDescent="0.25">
      <c r="A80" s="217" t="s">
        <v>82</v>
      </c>
      <c r="B80" s="119">
        <v>0.72152000000000005</v>
      </c>
      <c r="C80" s="119">
        <v>0.93413999999999997</v>
      </c>
      <c r="D80" s="120">
        <v>-0.13038</v>
      </c>
      <c r="E80" s="120">
        <v>-0.22770000000000001</v>
      </c>
      <c r="F80" s="119">
        <v>0.73982000000000003</v>
      </c>
      <c r="G80" s="119">
        <v>0.96164000000000005</v>
      </c>
      <c r="H80" s="119">
        <v>0.49519000000000002</v>
      </c>
      <c r="I80" s="119">
        <v>1</v>
      </c>
      <c r="J80" s="119">
        <v>0.56327000000000005</v>
      </c>
      <c r="K80" s="119">
        <v>0.94128000000000001</v>
      </c>
      <c r="L80" s="119">
        <v>0.95820000000000005</v>
      </c>
      <c r="M80" s="119">
        <v>0.5272</v>
      </c>
      <c r="N80" s="119">
        <v>0.64744000000000002</v>
      </c>
      <c r="O80" s="121">
        <v>0.38995999999999997</v>
      </c>
    </row>
    <row r="81" spans="1:15" x14ac:dyDescent="0.25">
      <c r="A81" s="217"/>
      <c r="B81" s="119" t="s">
        <v>54</v>
      </c>
      <c r="C81" s="119" t="s">
        <v>54</v>
      </c>
      <c r="D81" s="119">
        <v>0.37709999999999999</v>
      </c>
      <c r="E81" s="119">
        <v>0.1196</v>
      </c>
      <c r="F81" s="119" t="s">
        <v>54</v>
      </c>
      <c r="G81" s="119" t="s">
        <v>54</v>
      </c>
      <c r="H81" s="119">
        <v>2.9999999999999997E-4</v>
      </c>
      <c r="I81" s="119"/>
      <c r="J81" s="119" t="s">
        <v>54</v>
      </c>
      <c r="K81" s="119" t="s">
        <v>54</v>
      </c>
      <c r="L81" s="119" t="s">
        <v>54</v>
      </c>
      <c r="M81" s="119">
        <v>1E-4</v>
      </c>
      <c r="N81" s="119" t="s">
        <v>54</v>
      </c>
      <c r="O81" s="121">
        <v>6.7000000000000002E-3</v>
      </c>
    </row>
    <row r="82" spans="1:15" x14ac:dyDescent="0.25">
      <c r="A82" s="217"/>
      <c r="B82" s="119">
        <v>48</v>
      </c>
      <c r="C82" s="119">
        <v>48</v>
      </c>
      <c r="D82" s="119">
        <v>48</v>
      </c>
      <c r="E82" s="119">
        <v>48</v>
      </c>
      <c r="F82" s="119">
        <v>48</v>
      </c>
      <c r="G82" s="119">
        <v>48</v>
      </c>
      <c r="H82" s="119">
        <v>48</v>
      </c>
      <c r="I82" s="119">
        <v>48</v>
      </c>
      <c r="J82" s="119">
        <v>47</v>
      </c>
      <c r="K82" s="119">
        <v>47</v>
      </c>
      <c r="L82" s="119">
        <v>48</v>
      </c>
      <c r="M82" s="119">
        <v>48</v>
      </c>
      <c r="N82" s="119">
        <v>48</v>
      </c>
      <c r="O82" s="121">
        <v>47</v>
      </c>
    </row>
    <row r="83" spans="1:15" x14ac:dyDescent="0.25">
      <c r="A83" s="217" t="s">
        <v>84</v>
      </c>
      <c r="B83" s="119">
        <v>0.39724999999999999</v>
      </c>
      <c r="C83" s="119">
        <v>0.41092000000000001</v>
      </c>
      <c r="D83" s="120">
        <v>-0.49782999999999999</v>
      </c>
      <c r="E83" s="120">
        <v>-0.13213</v>
      </c>
      <c r="F83" s="119">
        <v>0.17842</v>
      </c>
      <c r="G83" s="119">
        <v>0.52878999999999998</v>
      </c>
      <c r="H83" s="119">
        <v>0.63114999999999999</v>
      </c>
      <c r="I83" s="119">
        <v>0.56327000000000005</v>
      </c>
      <c r="J83" s="119">
        <v>1</v>
      </c>
      <c r="K83" s="119">
        <v>0.58577000000000001</v>
      </c>
      <c r="L83" s="119">
        <v>0.58089999999999997</v>
      </c>
      <c r="M83" s="119">
        <v>0.98346999999999996</v>
      </c>
      <c r="N83" s="119">
        <v>9.6560000000000007E-2</v>
      </c>
      <c r="O83" s="121">
        <v>0.20221</v>
      </c>
    </row>
    <row r="84" spans="1:15" x14ac:dyDescent="0.25">
      <c r="A84" s="217"/>
      <c r="B84" s="119">
        <v>5.9999999999999995E-4</v>
      </c>
      <c r="C84" s="119">
        <v>4.0000000000000002E-4</v>
      </c>
      <c r="D84" s="119">
        <v>4.0000000000000002E-4</v>
      </c>
      <c r="E84" s="119">
        <v>0.376</v>
      </c>
      <c r="F84" s="119">
        <v>0.23019999999999999</v>
      </c>
      <c r="G84" s="119">
        <v>1E-4</v>
      </c>
      <c r="H84" s="119" t="s">
        <v>54</v>
      </c>
      <c r="I84" s="119" t="s">
        <v>54</v>
      </c>
      <c r="J84" s="119"/>
      <c r="K84" s="119" t="s">
        <v>54</v>
      </c>
      <c r="L84" s="119" t="s">
        <v>54</v>
      </c>
      <c r="M84" s="119" t="s">
        <v>54</v>
      </c>
      <c r="N84" s="119">
        <v>0.51849999999999996</v>
      </c>
      <c r="O84" s="121">
        <v>0.17780000000000001</v>
      </c>
    </row>
    <row r="85" spans="1:15" x14ac:dyDescent="0.25">
      <c r="A85" s="217"/>
      <c r="B85" s="119">
        <v>71</v>
      </c>
      <c r="C85" s="119">
        <v>71</v>
      </c>
      <c r="D85" s="119">
        <v>47</v>
      </c>
      <c r="E85" s="119">
        <v>47</v>
      </c>
      <c r="F85" s="119">
        <v>47</v>
      </c>
      <c r="G85" s="119">
        <v>48</v>
      </c>
      <c r="H85" s="119">
        <v>47</v>
      </c>
      <c r="I85" s="119">
        <v>47</v>
      </c>
      <c r="J85" s="119">
        <v>71</v>
      </c>
      <c r="K85" s="119">
        <v>71</v>
      </c>
      <c r="L85" s="119">
        <v>71</v>
      </c>
      <c r="M85" s="119">
        <v>71</v>
      </c>
      <c r="N85" s="119">
        <v>47</v>
      </c>
      <c r="O85" s="121">
        <v>46</v>
      </c>
    </row>
    <row r="86" spans="1:15" x14ac:dyDescent="0.25">
      <c r="A86" s="217" t="s">
        <v>36</v>
      </c>
      <c r="B86" s="119">
        <v>0.62572000000000005</v>
      </c>
      <c r="C86" s="119">
        <v>0.97472999999999999</v>
      </c>
      <c r="D86" s="120">
        <v>-7.1730000000000002E-2</v>
      </c>
      <c r="E86" s="120">
        <v>-0.21435000000000001</v>
      </c>
      <c r="F86" s="119">
        <v>0.79027000000000003</v>
      </c>
      <c r="G86" s="119">
        <v>0.95565</v>
      </c>
      <c r="H86" s="119">
        <v>0.33649000000000001</v>
      </c>
      <c r="I86" s="119">
        <v>0.94128000000000001</v>
      </c>
      <c r="J86" s="119">
        <v>0.58577000000000001</v>
      </c>
      <c r="K86" s="119">
        <v>1</v>
      </c>
      <c r="L86" s="119">
        <v>0.99907999999999997</v>
      </c>
      <c r="M86" s="119">
        <v>0.56555</v>
      </c>
      <c r="N86" s="119">
        <v>0.68574999999999997</v>
      </c>
      <c r="O86" s="121">
        <v>0.45743</v>
      </c>
    </row>
    <row r="87" spans="1:15" x14ac:dyDescent="0.25">
      <c r="A87" s="217"/>
      <c r="B87" s="119" t="s">
        <v>54</v>
      </c>
      <c r="C87" s="119" t="s">
        <v>54</v>
      </c>
      <c r="D87" s="119">
        <v>0.63190000000000002</v>
      </c>
      <c r="E87" s="119">
        <v>0.1479</v>
      </c>
      <c r="F87" s="119" t="s">
        <v>54</v>
      </c>
      <c r="G87" s="119" t="s">
        <v>54</v>
      </c>
      <c r="H87" s="119">
        <v>2.07E-2</v>
      </c>
      <c r="I87" s="119" t="s">
        <v>54</v>
      </c>
      <c r="J87" s="119" t="s">
        <v>54</v>
      </c>
      <c r="K87" s="119"/>
      <c r="L87" s="119" t="s">
        <v>54</v>
      </c>
      <c r="M87" s="119" t="s">
        <v>54</v>
      </c>
      <c r="N87" s="119" t="s">
        <v>54</v>
      </c>
      <c r="O87" s="121">
        <v>1.4E-3</v>
      </c>
    </row>
    <row r="88" spans="1:15" x14ac:dyDescent="0.25">
      <c r="A88" s="217"/>
      <c r="B88" s="119">
        <v>71</v>
      </c>
      <c r="C88" s="119">
        <v>71</v>
      </c>
      <c r="D88" s="119">
        <v>47</v>
      </c>
      <c r="E88" s="119">
        <v>47</v>
      </c>
      <c r="F88" s="119">
        <v>47</v>
      </c>
      <c r="G88" s="119">
        <v>48</v>
      </c>
      <c r="H88" s="119">
        <v>47</v>
      </c>
      <c r="I88" s="119">
        <v>47</v>
      </c>
      <c r="J88" s="119">
        <v>71</v>
      </c>
      <c r="K88" s="119">
        <v>71</v>
      </c>
      <c r="L88" s="119">
        <v>71</v>
      </c>
      <c r="M88" s="119">
        <v>71</v>
      </c>
      <c r="N88" s="119">
        <v>47</v>
      </c>
      <c r="O88" s="121">
        <v>46</v>
      </c>
    </row>
    <row r="89" spans="1:15" x14ac:dyDescent="0.25">
      <c r="A89" s="217" t="s">
        <v>79</v>
      </c>
      <c r="B89" s="119">
        <v>0.63010999999999995</v>
      </c>
      <c r="C89" s="119">
        <v>0.97623000000000004</v>
      </c>
      <c r="D89" s="120">
        <v>-7.5719999999999996E-2</v>
      </c>
      <c r="E89" s="120">
        <v>-0.2026</v>
      </c>
      <c r="F89" s="119">
        <v>0.79471000000000003</v>
      </c>
      <c r="G89" s="119">
        <v>0.96450999999999998</v>
      </c>
      <c r="H89" s="119">
        <v>0.33845999999999998</v>
      </c>
      <c r="I89" s="119">
        <v>0.95820000000000005</v>
      </c>
      <c r="J89" s="119">
        <v>0.58089999999999997</v>
      </c>
      <c r="K89" s="119">
        <v>0.99907999999999997</v>
      </c>
      <c r="L89" s="119">
        <v>1</v>
      </c>
      <c r="M89" s="119">
        <v>0.52276</v>
      </c>
      <c r="N89" s="119">
        <v>0.66524000000000005</v>
      </c>
      <c r="O89" s="121">
        <v>0.40333999999999998</v>
      </c>
    </row>
    <row r="90" spans="1:15" x14ac:dyDescent="0.25">
      <c r="A90" s="217"/>
      <c r="B90" s="119" t="s">
        <v>54</v>
      </c>
      <c r="C90" s="119" t="s">
        <v>54</v>
      </c>
      <c r="D90" s="119">
        <v>0.60899999999999999</v>
      </c>
      <c r="E90" s="119">
        <v>0.1673</v>
      </c>
      <c r="F90" s="119" t="s">
        <v>54</v>
      </c>
      <c r="G90" s="119" t="s">
        <v>54</v>
      </c>
      <c r="H90" s="119">
        <v>1.8599999999999998E-2</v>
      </c>
      <c r="I90" s="119" t="s">
        <v>54</v>
      </c>
      <c r="J90" s="119" t="s">
        <v>54</v>
      </c>
      <c r="K90" s="119" t="s">
        <v>54</v>
      </c>
      <c r="L90" s="119"/>
      <c r="M90" s="119" t="s">
        <v>54</v>
      </c>
      <c r="N90" s="119" t="s">
        <v>54</v>
      </c>
      <c r="O90" s="121">
        <v>4.8999999999999998E-3</v>
      </c>
    </row>
    <row r="91" spans="1:15" x14ac:dyDescent="0.25">
      <c r="A91" s="217"/>
      <c r="B91" s="119">
        <v>72</v>
      </c>
      <c r="C91" s="119">
        <v>72</v>
      </c>
      <c r="D91" s="119">
        <v>48</v>
      </c>
      <c r="E91" s="119">
        <v>48</v>
      </c>
      <c r="F91" s="119">
        <v>48</v>
      </c>
      <c r="G91" s="119">
        <v>49</v>
      </c>
      <c r="H91" s="119">
        <v>48</v>
      </c>
      <c r="I91" s="119">
        <v>48</v>
      </c>
      <c r="J91" s="119">
        <v>71</v>
      </c>
      <c r="K91" s="119">
        <v>71</v>
      </c>
      <c r="L91" s="119">
        <v>72</v>
      </c>
      <c r="M91" s="119">
        <v>72</v>
      </c>
      <c r="N91" s="119">
        <v>48</v>
      </c>
      <c r="O91" s="121">
        <v>47</v>
      </c>
    </row>
    <row r="92" spans="1:15" x14ac:dyDescent="0.25">
      <c r="A92" s="217" t="s">
        <v>80</v>
      </c>
      <c r="B92" s="119">
        <v>0.38333</v>
      </c>
      <c r="C92" s="119">
        <v>0.34577000000000002</v>
      </c>
      <c r="D92" s="120">
        <v>-0.58043</v>
      </c>
      <c r="E92" s="120">
        <v>-0.18828</v>
      </c>
      <c r="F92" s="119">
        <v>8.1559999999999994E-2</v>
      </c>
      <c r="G92" s="119">
        <v>0.47151999999999999</v>
      </c>
      <c r="H92" s="119">
        <v>0.75780000000000003</v>
      </c>
      <c r="I92" s="119">
        <v>0.5272</v>
      </c>
      <c r="J92" s="119">
        <v>0.98346999999999996</v>
      </c>
      <c r="K92" s="119">
        <v>0.56555</v>
      </c>
      <c r="L92" s="119">
        <v>0.52276</v>
      </c>
      <c r="M92" s="119">
        <v>1</v>
      </c>
      <c r="N92" s="119">
        <v>7.0050000000000001E-2</v>
      </c>
      <c r="O92" s="121">
        <v>0.20061000000000001</v>
      </c>
    </row>
    <row r="93" spans="1:15" x14ac:dyDescent="0.25">
      <c r="A93" s="217"/>
      <c r="B93" s="119">
        <v>8.9999999999999998E-4</v>
      </c>
      <c r="C93" s="119">
        <v>2.8999999999999998E-3</v>
      </c>
      <c r="D93" s="119" t="s">
        <v>54</v>
      </c>
      <c r="E93" s="119">
        <v>0.2</v>
      </c>
      <c r="F93" s="119">
        <v>0.58160000000000001</v>
      </c>
      <c r="G93" s="119">
        <v>5.9999999999999995E-4</v>
      </c>
      <c r="H93" s="119" t="s">
        <v>54</v>
      </c>
      <c r="I93" s="119">
        <v>1E-4</v>
      </c>
      <c r="J93" s="119" t="s">
        <v>54</v>
      </c>
      <c r="K93" s="119" t="s">
        <v>54</v>
      </c>
      <c r="L93" s="119" t="s">
        <v>54</v>
      </c>
      <c r="M93" s="119"/>
      <c r="N93" s="119">
        <v>0.6361</v>
      </c>
      <c r="O93" s="121">
        <v>0.17630000000000001</v>
      </c>
    </row>
    <row r="94" spans="1:15" x14ac:dyDescent="0.25">
      <c r="A94" s="217"/>
      <c r="B94" s="119">
        <v>72</v>
      </c>
      <c r="C94" s="119">
        <v>72</v>
      </c>
      <c r="D94" s="119">
        <v>48</v>
      </c>
      <c r="E94" s="119">
        <v>48</v>
      </c>
      <c r="F94" s="119">
        <v>48</v>
      </c>
      <c r="G94" s="119">
        <v>49</v>
      </c>
      <c r="H94" s="119">
        <v>48</v>
      </c>
      <c r="I94" s="119">
        <v>48</v>
      </c>
      <c r="J94" s="119">
        <v>71</v>
      </c>
      <c r="K94" s="119">
        <v>71</v>
      </c>
      <c r="L94" s="119">
        <v>72</v>
      </c>
      <c r="M94" s="119">
        <v>72</v>
      </c>
      <c r="N94" s="119">
        <v>48</v>
      </c>
      <c r="O94" s="121">
        <v>47</v>
      </c>
    </row>
    <row r="95" spans="1:15" x14ac:dyDescent="0.25">
      <c r="A95" s="217" t="s">
        <v>83</v>
      </c>
      <c r="B95" s="119">
        <v>0.65151000000000003</v>
      </c>
      <c r="C95" s="119">
        <v>0.74451999999999996</v>
      </c>
      <c r="D95" s="119">
        <v>0.32772000000000001</v>
      </c>
      <c r="E95" s="120">
        <v>-0.34464</v>
      </c>
      <c r="F95" s="119">
        <v>0.84741999999999995</v>
      </c>
      <c r="G95" s="119">
        <v>0.62431999999999999</v>
      </c>
      <c r="H95" s="120">
        <v>-5.47E-3</v>
      </c>
      <c r="I95" s="119">
        <v>0.64744000000000002</v>
      </c>
      <c r="J95" s="119">
        <v>9.6560000000000007E-2</v>
      </c>
      <c r="K95" s="119">
        <v>0.68574999999999997</v>
      </c>
      <c r="L95" s="119">
        <v>0.66524000000000005</v>
      </c>
      <c r="M95" s="119">
        <v>7.0050000000000001E-2</v>
      </c>
      <c r="N95" s="119">
        <v>1</v>
      </c>
      <c r="O95" s="121">
        <v>0.72172000000000003</v>
      </c>
    </row>
    <row r="96" spans="1:15" x14ac:dyDescent="0.25">
      <c r="A96" s="217"/>
      <c r="B96" s="119" t="s">
        <v>54</v>
      </c>
      <c r="C96" s="119" t="s">
        <v>54</v>
      </c>
      <c r="D96" s="119">
        <v>2.3E-2</v>
      </c>
      <c r="E96" s="119">
        <v>1.6400000000000001E-2</v>
      </c>
      <c r="F96" s="119" t="s">
        <v>54</v>
      </c>
      <c r="G96" s="119" t="s">
        <v>54</v>
      </c>
      <c r="H96" s="119">
        <v>0.97060000000000002</v>
      </c>
      <c r="I96" s="119" t="s">
        <v>54</v>
      </c>
      <c r="J96" s="119">
        <v>0.51849999999999996</v>
      </c>
      <c r="K96" s="119" t="s">
        <v>54</v>
      </c>
      <c r="L96" s="119" t="s">
        <v>54</v>
      </c>
      <c r="M96" s="119">
        <v>0.6361</v>
      </c>
      <c r="N96" s="119"/>
      <c r="O96" s="121" t="s">
        <v>54</v>
      </c>
    </row>
    <row r="97" spans="1:15" x14ac:dyDescent="0.25">
      <c r="A97" s="217"/>
      <c r="B97" s="119">
        <v>48</v>
      </c>
      <c r="C97" s="119">
        <v>48</v>
      </c>
      <c r="D97" s="119">
        <v>48</v>
      </c>
      <c r="E97" s="119">
        <v>48</v>
      </c>
      <c r="F97" s="119">
        <v>48</v>
      </c>
      <c r="G97" s="119">
        <v>48</v>
      </c>
      <c r="H97" s="119">
        <v>48</v>
      </c>
      <c r="I97" s="119">
        <v>48</v>
      </c>
      <c r="J97" s="119">
        <v>47</v>
      </c>
      <c r="K97" s="119">
        <v>47</v>
      </c>
      <c r="L97" s="119">
        <v>48</v>
      </c>
      <c r="M97" s="119">
        <v>48</v>
      </c>
      <c r="N97" s="119">
        <v>48</v>
      </c>
      <c r="O97" s="121">
        <v>47</v>
      </c>
    </row>
    <row r="98" spans="1:15" x14ac:dyDescent="0.25">
      <c r="A98" s="217" t="s">
        <v>85</v>
      </c>
      <c r="B98" s="119">
        <v>0.40788999999999997</v>
      </c>
      <c r="C98" s="119">
        <v>0.40599000000000002</v>
      </c>
      <c r="D98" s="119">
        <v>7.8200000000000006E-3</v>
      </c>
      <c r="E98" s="120">
        <v>-0.36520999999999998</v>
      </c>
      <c r="F98" s="119">
        <v>0.45810000000000001</v>
      </c>
      <c r="G98" s="119">
        <v>0.35736000000000001</v>
      </c>
      <c r="H98" s="119">
        <v>9.2789999999999997E-2</v>
      </c>
      <c r="I98" s="119">
        <v>0.38995999999999997</v>
      </c>
      <c r="J98" s="119">
        <v>0.20221</v>
      </c>
      <c r="K98" s="119">
        <v>0.45743</v>
      </c>
      <c r="L98" s="119">
        <v>0.40333999999999998</v>
      </c>
      <c r="M98" s="119">
        <v>0.20061000000000001</v>
      </c>
      <c r="N98" s="119">
        <v>0.72172000000000003</v>
      </c>
      <c r="O98" s="121">
        <v>1</v>
      </c>
    </row>
    <row r="99" spans="1:15" x14ac:dyDescent="0.25">
      <c r="A99" s="217"/>
      <c r="B99" s="119">
        <v>4.4000000000000003E-3</v>
      </c>
      <c r="C99" s="119">
        <v>4.5999999999999999E-3</v>
      </c>
      <c r="D99" s="119">
        <v>0.95840000000000003</v>
      </c>
      <c r="E99" s="119">
        <v>1.1599999999999999E-2</v>
      </c>
      <c r="F99" s="119">
        <v>1.1999999999999999E-3</v>
      </c>
      <c r="G99" s="119">
        <v>1.37E-2</v>
      </c>
      <c r="H99" s="119">
        <v>0.53500000000000003</v>
      </c>
      <c r="I99" s="119">
        <v>6.7000000000000002E-3</v>
      </c>
      <c r="J99" s="119">
        <v>0.17780000000000001</v>
      </c>
      <c r="K99" s="119">
        <v>1.4E-3</v>
      </c>
      <c r="L99" s="119">
        <v>4.8999999999999998E-3</v>
      </c>
      <c r="M99" s="119">
        <v>0.17630000000000001</v>
      </c>
      <c r="N99" s="119" t="s">
        <v>54</v>
      </c>
      <c r="O99" s="121"/>
    </row>
    <row r="100" spans="1:15" ht="15.75" thickBot="1" x14ac:dyDescent="0.3">
      <c r="A100" s="219"/>
      <c r="B100" s="123">
        <v>47</v>
      </c>
      <c r="C100" s="123">
        <v>47</v>
      </c>
      <c r="D100" s="123">
        <v>47</v>
      </c>
      <c r="E100" s="123">
        <v>47</v>
      </c>
      <c r="F100" s="123">
        <v>47</v>
      </c>
      <c r="G100" s="123">
        <v>47</v>
      </c>
      <c r="H100" s="123">
        <v>47</v>
      </c>
      <c r="I100" s="123">
        <v>47</v>
      </c>
      <c r="J100" s="123">
        <v>46</v>
      </c>
      <c r="K100" s="123">
        <v>46</v>
      </c>
      <c r="L100" s="123">
        <v>47</v>
      </c>
      <c r="M100" s="123">
        <v>47</v>
      </c>
      <c r="N100" s="123">
        <v>47</v>
      </c>
      <c r="O100" s="124">
        <v>47</v>
      </c>
    </row>
  </sheetData>
  <mergeCells count="57">
    <mergeCell ref="A98:A100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55:O55"/>
    <mergeCell ref="A56:O56"/>
    <mergeCell ref="A57:O57"/>
    <mergeCell ref="A59:A61"/>
    <mergeCell ref="A62:A64"/>
    <mergeCell ref="AX2:AY2"/>
    <mergeCell ref="AF2:AG2"/>
    <mergeCell ref="AH2:AI2"/>
    <mergeCell ref="AJ36:AJ37"/>
    <mergeCell ref="AK36:AL36"/>
    <mergeCell ref="AV2:AW2"/>
    <mergeCell ref="AT2:AU2"/>
    <mergeCell ref="AJ2:AK2"/>
    <mergeCell ref="AL2:AM2"/>
    <mergeCell ref="AN2:AO2"/>
    <mergeCell ref="AP2:AQ2"/>
    <mergeCell ref="AR2:AS2"/>
    <mergeCell ref="AF36:AF37"/>
    <mergeCell ref="AG36:AH36"/>
    <mergeCell ref="O36:P36"/>
    <mergeCell ref="AA36:AB36"/>
    <mergeCell ref="AC36:AD36"/>
    <mergeCell ref="R36:R37"/>
    <mergeCell ref="S36:T36"/>
    <mergeCell ref="U36:V36"/>
    <mergeCell ref="W36:X36"/>
    <mergeCell ref="Y36:Z36"/>
    <mergeCell ref="W2:W3"/>
    <mergeCell ref="X2:Y2"/>
    <mergeCell ref="Z2:AA2"/>
    <mergeCell ref="AB2:AC2"/>
    <mergeCell ref="AD2:AE2"/>
    <mergeCell ref="AC30:AD30"/>
    <mergeCell ref="B36:B37"/>
    <mergeCell ref="C36:D36"/>
    <mergeCell ref="E36:F36"/>
    <mergeCell ref="G36:H36"/>
    <mergeCell ref="I36:J36"/>
    <mergeCell ref="B30:B31"/>
    <mergeCell ref="C30:D30"/>
    <mergeCell ref="E30:F30"/>
    <mergeCell ref="G30:H30"/>
    <mergeCell ref="I30:J30"/>
    <mergeCell ref="L36:L37"/>
    <mergeCell ref="M36:N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48AC-BFC1-4993-AA89-8063E4F7B3B2}">
  <dimension ref="B1:AD86"/>
  <sheetViews>
    <sheetView zoomScale="60" zoomScaleNormal="60" workbookViewId="0">
      <selection activeCell="AQ14" sqref="AQ14"/>
    </sheetView>
  </sheetViews>
  <sheetFormatPr defaultRowHeight="15" x14ac:dyDescent="0.25"/>
  <cols>
    <col min="2" max="2" width="17.7109375" customWidth="1"/>
    <col min="14" max="14" width="21.42578125" customWidth="1"/>
    <col min="16" max="16" width="14.5703125" style="189" customWidth="1"/>
    <col min="17" max="17" width="22" customWidth="1"/>
  </cols>
  <sheetData>
    <row r="1" spans="2:30" ht="15.75" thickBot="1" x14ac:dyDescent="0.3">
      <c r="B1" s="153" t="s">
        <v>92</v>
      </c>
      <c r="C1" s="153"/>
      <c r="D1" s="153" t="s">
        <v>99</v>
      </c>
    </row>
    <row r="2" spans="2:30" ht="15.75" thickBot="1" x14ac:dyDescent="0.3">
      <c r="B2" s="192"/>
      <c r="C2" s="193"/>
      <c r="D2" s="193"/>
      <c r="E2" s="193"/>
      <c r="F2" s="193" t="s">
        <v>77</v>
      </c>
      <c r="G2" s="193" t="s">
        <v>68</v>
      </c>
      <c r="H2" s="194" t="s">
        <v>91</v>
      </c>
      <c r="Q2" s="192"/>
      <c r="R2" s="193"/>
      <c r="S2" s="193"/>
      <c r="T2" s="193"/>
      <c r="U2" s="193" t="s">
        <v>77</v>
      </c>
      <c r="V2" s="193" t="s">
        <v>68</v>
      </c>
      <c r="W2" s="194" t="s">
        <v>91</v>
      </c>
    </row>
    <row r="3" spans="2:30" x14ac:dyDescent="0.25">
      <c r="B3" s="136" t="s">
        <v>0</v>
      </c>
      <c r="C3" s="65" t="s">
        <v>1</v>
      </c>
      <c r="D3" s="65">
        <v>1</v>
      </c>
      <c r="E3" s="65" t="s">
        <v>65</v>
      </c>
      <c r="F3" s="188">
        <v>5226.943005181347</v>
      </c>
      <c r="G3" s="188">
        <v>0.46226458323786829</v>
      </c>
      <c r="H3" s="197">
        <v>11307.253886010363</v>
      </c>
      <c r="Q3" s="136" t="s">
        <v>0</v>
      </c>
      <c r="R3" s="65" t="s">
        <v>1</v>
      </c>
      <c r="S3" s="65">
        <v>1</v>
      </c>
      <c r="T3" s="65" t="s">
        <v>69</v>
      </c>
      <c r="U3" s="66" t="s">
        <v>41</v>
      </c>
      <c r="V3" s="66" t="s">
        <v>41</v>
      </c>
      <c r="W3" s="183" t="s">
        <v>41</v>
      </c>
      <c r="AA3" s="133" t="s">
        <v>43</v>
      </c>
      <c r="AB3" s="134" t="s">
        <v>94</v>
      </c>
      <c r="AC3" s="134" t="s">
        <v>68</v>
      </c>
      <c r="AD3" s="135" t="s">
        <v>95</v>
      </c>
    </row>
    <row r="4" spans="2:30" ht="15.75" thickBot="1" x14ac:dyDescent="0.3">
      <c r="B4" s="136" t="s">
        <v>3</v>
      </c>
      <c r="C4" s="65" t="s">
        <v>1</v>
      </c>
      <c r="D4" s="65">
        <v>1</v>
      </c>
      <c r="E4" s="65" t="s">
        <v>65</v>
      </c>
      <c r="F4" s="188">
        <v>4578.7564766839378</v>
      </c>
      <c r="G4" s="188">
        <v>0.513689472766378</v>
      </c>
      <c r="H4" s="197">
        <v>8913.4715025906735</v>
      </c>
      <c r="Q4" s="136" t="s">
        <v>3</v>
      </c>
      <c r="R4" s="65" t="s">
        <v>1</v>
      </c>
      <c r="S4" s="65">
        <v>1</v>
      </c>
      <c r="T4" s="65" t="s">
        <v>69</v>
      </c>
      <c r="U4" s="66">
        <v>3054.9222797927459</v>
      </c>
      <c r="V4" s="66">
        <v>0.45617021276595743</v>
      </c>
      <c r="W4" s="183">
        <v>6696.8911917098449</v>
      </c>
      <c r="AA4" s="136" t="s">
        <v>93</v>
      </c>
      <c r="AB4" s="22">
        <v>1.9699999999999999E-2</v>
      </c>
      <c r="AC4" s="22">
        <v>3.8E-3</v>
      </c>
      <c r="AD4" s="22">
        <v>0.95679999999999998</v>
      </c>
    </row>
    <row r="5" spans="2:30" x14ac:dyDescent="0.25">
      <c r="B5" s="136" t="s">
        <v>4</v>
      </c>
      <c r="C5" s="65" t="s">
        <v>1</v>
      </c>
      <c r="D5" s="65">
        <v>1</v>
      </c>
      <c r="E5" s="65" t="s">
        <v>65</v>
      </c>
      <c r="F5" s="188">
        <v>3843.00518134715</v>
      </c>
      <c r="G5" s="188">
        <v>0.53463562315288693</v>
      </c>
      <c r="H5" s="197">
        <v>7188.0829015544041</v>
      </c>
      <c r="Q5" s="136" t="s">
        <v>4</v>
      </c>
      <c r="R5" s="65" t="s">
        <v>1</v>
      </c>
      <c r="S5" s="65">
        <v>1</v>
      </c>
      <c r="T5" s="65" t="s">
        <v>69</v>
      </c>
      <c r="U5" s="66">
        <v>3214.507772020725</v>
      </c>
      <c r="V5" s="66">
        <v>0.45500550055005495</v>
      </c>
      <c r="W5" s="183">
        <v>7064.7668393782387</v>
      </c>
      <c r="AA5" s="136" t="s">
        <v>73</v>
      </c>
      <c r="AB5" s="22">
        <v>0.8599</v>
      </c>
      <c r="AC5" s="125">
        <v>0.51910000000000001</v>
      </c>
      <c r="AD5" s="22">
        <v>9.9400000000000002E-2</v>
      </c>
    </row>
    <row r="6" spans="2:30" x14ac:dyDescent="0.25">
      <c r="B6" s="136" t="s">
        <v>5</v>
      </c>
      <c r="C6" s="65" t="s">
        <v>1</v>
      </c>
      <c r="D6" s="65">
        <v>1</v>
      </c>
      <c r="E6" s="65" t="s">
        <v>65</v>
      </c>
      <c r="F6" s="188">
        <v>2782.9015544041449</v>
      </c>
      <c r="G6" s="188">
        <v>0.46570710136131099</v>
      </c>
      <c r="H6" s="197">
        <v>5975.6476683937826</v>
      </c>
      <c r="Q6" s="136" t="s">
        <v>5</v>
      </c>
      <c r="R6" s="65" t="s">
        <v>1</v>
      </c>
      <c r="S6" s="65">
        <v>1</v>
      </c>
      <c r="T6" s="65" t="s">
        <v>69</v>
      </c>
      <c r="U6" s="66">
        <v>3826.4248704663214</v>
      </c>
      <c r="V6" s="66">
        <v>0.45348480196499846</v>
      </c>
      <c r="W6" s="183">
        <v>8437.8238341968918</v>
      </c>
      <c r="AA6" s="136" t="s">
        <v>87</v>
      </c>
      <c r="AB6" s="22">
        <v>2971.114</v>
      </c>
      <c r="AC6" s="22">
        <v>0.419709</v>
      </c>
      <c r="AD6" s="22">
        <v>7119.43</v>
      </c>
    </row>
    <row r="7" spans="2:30" x14ac:dyDescent="0.25">
      <c r="B7" s="136" t="s">
        <v>6</v>
      </c>
      <c r="C7" s="65" t="s">
        <v>1</v>
      </c>
      <c r="D7" s="65">
        <v>1</v>
      </c>
      <c r="E7" s="65" t="s">
        <v>65</v>
      </c>
      <c r="F7" s="188">
        <v>4458.031088082902</v>
      </c>
      <c r="G7" s="188">
        <v>0.47871807711567355</v>
      </c>
      <c r="H7" s="197">
        <v>9312.4352331606224</v>
      </c>
      <c r="Q7" s="136" t="s">
        <v>6</v>
      </c>
      <c r="R7" s="65" t="s">
        <v>1</v>
      </c>
      <c r="S7" s="65">
        <v>1</v>
      </c>
      <c r="T7" s="65" t="s">
        <v>69</v>
      </c>
      <c r="U7" s="66">
        <v>2821.7616580310873</v>
      </c>
      <c r="V7" s="66">
        <v>0.42932597556168689</v>
      </c>
      <c r="W7" s="183">
        <v>6572.5388601036275</v>
      </c>
      <c r="AA7" s="136" t="s">
        <v>86</v>
      </c>
      <c r="AB7" s="22">
        <v>26.611999999999998</v>
      </c>
      <c r="AC7" s="22">
        <v>18.990539999999999</v>
      </c>
      <c r="AD7" s="22">
        <v>12.535349999999999</v>
      </c>
    </row>
    <row r="8" spans="2:30" ht="15.75" thickBot="1" x14ac:dyDescent="0.3">
      <c r="B8" s="136" t="s">
        <v>7</v>
      </c>
      <c r="C8" s="65" t="s">
        <v>1</v>
      </c>
      <c r="D8" s="65">
        <v>1</v>
      </c>
      <c r="E8" s="65" t="s">
        <v>65</v>
      </c>
      <c r="F8" s="188">
        <v>3308.2901554404148</v>
      </c>
      <c r="G8" s="188">
        <v>0.49561437553364901</v>
      </c>
      <c r="H8" s="197">
        <v>6675.1295336787571</v>
      </c>
      <c r="Q8" s="136" t="s">
        <v>7</v>
      </c>
      <c r="R8" s="65" t="s">
        <v>1</v>
      </c>
      <c r="S8" s="65">
        <v>1</v>
      </c>
      <c r="T8" s="65" t="s">
        <v>69</v>
      </c>
      <c r="U8" s="66">
        <v>2994.3005181347153</v>
      </c>
      <c r="V8" s="66">
        <v>0.47978414279784154</v>
      </c>
      <c r="W8" s="183">
        <v>6240.932642487046</v>
      </c>
      <c r="AA8" s="138" t="s">
        <v>53</v>
      </c>
    </row>
    <row r="9" spans="2:30" ht="15.75" thickBot="1" x14ac:dyDescent="0.3">
      <c r="B9" s="136" t="s">
        <v>8</v>
      </c>
      <c r="C9" s="65" t="s">
        <v>1</v>
      </c>
      <c r="D9" s="65">
        <v>1</v>
      </c>
      <c r="E9" s="65" t="s">
        <v>65</v>
      </c>
      <c r="F9" s="188">
        <v>3337.3056994818648</v>
      </c>
      <c r="G9" s="188">
        <v>0.46162115674048587</v>
      </c>
      <c r="H9" s="197">
        <v>7229.5336787564765</v>
      </c>
      <c r="Q9" s="136" t="s">
        <v>8</v>
      </c>
      <c r="R9" s="65" t="s">
        <v>1</v>
      </c>
      <c r="S9" s="65">
        <v>1</v>
      </c>
      <c r="T9" s="65" t="s">
        <v>69</v>
      </c>
      <c r="U9" s="66">
        <v>3138.8601036269433</v>
      </c>
      <c r="V9" s="66">
        <v>0.44626151012891346</v>
      </c>
      <c r="W9" s="183">
        <v>7033.6787564766846</v>
      </c>
    </row>
    <row r="10" spans="2:30" x14ac:dyDescent="0.25">
      <c r="B10" s="136" t="s">
        <v>9</v>
      </c>
      <c r="C10" s="65" t="s">
        <v>1</v>
      </c>
      <c r="D10" s="65">
        <v>1</v>
      </c>
      <c r="E10" s="65" t="s">
        <v>65</v>
      </c>
      <c r="F10" s="188">
        <v>2368.9119170984459</v>
      </c>
      <c r="G10" s="188">
        <v>0.43406436912560536</v>
      </c>
      <c r="H10" s="197">
        <v>5457.5129533678746</v>
      </c>
      <c r="Q10" s="136" t="s">
        <v>9</v>
      </c>
      <c r="R10" s="65" t="s">
        <v>1</v>
      </c>
      <c r="S10" s="65">
        <v>1</v>
      </c>
      <c r="T10" s="65" t="s">
        <v>69</v>
      </c>
      <c r="U10" s="66">
        <v>3676.1658031088086</v>
      </c>
      <c r="V10" s="66">
        <v>0.48579253680246492</v>
      </c>
      <c r="W10" s="183">
        <v>7567.3575129533683</v>
      </c>
      <c r="AA10" s="224" t="s">
        <v>98</v>
      </c>
      <c r="AB10" s="225"/>
      <c r="AC10" s="225"/>
      <c r="AD10" s="226"/>
    </row>
    <row r="11" spans="2:30" x14ac:dyDescent="0.25">
      <c r="B11" s="136" t="s">
        <v>3</v>
      </c>
      <c r="C11" s="65" t="s">
        <v>1</v>
      </c>
      <c r="D11" s="65">
        <v>2</v>
      </c>
      <c r="E11" s="65" t="s">
        <v>65</v>
      </c>
      <c r="F11" s="188">
        <v>3633.6787564766837</v>
      </c>
      <c r="G11" s="188">
        <v>0.46403758353735197</v>
      </c>
      <c r="H11" s="197">
        <v>7830.5699481865277</v>
      </c>
      <c r="Q11" s="136" t="s">
        <v>3</v>
      </c>
      <c r="R11" s="65" t="s">
        <v>1</v>
      </c>
      <c r="S11" s="65">
        <v>2</v>
      </c>
      <c r="T11" s="65" t="s">
        <v>69</v>
      </c>
      <c r="U11" s="66">
        <v>3482.9015544041449</v>
      </c>
      <c r="V11" s="66">
        <v>0.47188487188487177</v>
      </c>
      <c r="W11" s="183">
        <v>7380.8290155440427</v>
      </c>
      <c r="AA11" s="227" t="s">
        <v>89</v>
      </c>
      <c r="AB11" s="205"/>
      <c r="AC11" s="205"/>
      <c r="AD11" s="228"/>
    </row>
    <row r="12" spans="2:30" x14ac:dyDescent="0.25">
      <c r="B12" s="136" t="s">
        <v>9</v>
      </c>
      <c r="C12" s="65" t="s">
        <v>1</v>
      </c>
      <c r="D12" s="65">
        <v>2</v>
      </c>
      <c r="E12" s="65" t="s">
        <v>65</v>
      </c>
      <c r="F12" s="188">
        <v>3378.7564766839373</v>
      </c>
      <c r="G12" s="188">
        <v>0.50099877074370003</v>
      </c>
      <c r="H12" s="197">
        <v>6744.0414507772011</v>
      </c>
      <c r="Q12" s="136" t="s">
        <v>9</v>
      </c>
      <c r="R12" s="65" t="s">
        <v>1</v>
      </c>
      <c r="S12" s="65">
        <v>2</v>
      </c>
      <c r="T12" s="65" t="s">
        <v>69</v>
      </c>
      <c r="U12" s="66">
        <v>1158.0310880829022</v>
      </c>
      <c r="V12" s="66">
        <v>0.12967798085291565</v>
      </c>
      <c r="W12" s="183">
        <v>8930.0518134715021</v>
      </c>
      <c r="AA12" s="145"/>
      <c r="AB12" s="18" t="s">
        <v>94</v>
      </c>
      <c r="AC12" s="18" t="s">
        <v>68</v>
      </c>
      <c r="AD12" s="146" t="s">
        <v>95</v>
      </c>
    </row>
    <row r="13" spans="2:30" x14ac:dyDescent="0.25">
      <c r="B13" s="136" t="s">
        <v>8</v>
      </c>
      <c r="C13" s="65" t="s">
        <v>1</v>
      </c>
      <c r="D13" s="65">
        <v>2</v>
      </c>
      <c r="E13" s="65" t="s">
        <v>65</v>
      </c>
      <c r="F13" s="188">
        <v>3351.2953367875643</v>
      </c>
      <c r="G13" s="188">
        <v>0.47132551191430444</v>
      </c>
      <c r="H13" s="197">
        <v>7110.3626943005174</v>
      </c>
      <c r="Q13" s="136" t="s">
        <v>8</v>
      </c>
      <c r="R13" s="65" t="s">
        <v>1</v>
      </c>
      <c r="S13" s="65">
        <v>2</v>
      </c>
      <c r="T13" s="65" t="s">
        <v>69</v>
      </c>
      <c r="U13" s="66">
        <v>2423.3160621761654</v>
      </c>
      <c r="V13" s="66">
        <v>0.35218373493975896</v>
      </c>
      <c r="W13" s="183">
        <v>6880.8290155440418</v>
      </c>
      <c r="AA13" s="227" t="s">
        <v>94</v>
      </c>
      <c r="AB13" s="147">
        <v>1</v>
      </c>
      <c r="AC13" s="147">
        <v>0.87539</v>
      </c>
      <c r="AD13" s="148">
        <v>0.39208999999999999</v>
      </c>
    </row>
    <row r="14" spans="2:30" x14ac:dyDescent="0.25">
      <c r="B14" s="136" t="s">
        <v>4</v>
      </c>
      <c r="C14" s="65" t="s">
        <v>1</v>
      </c>
      <c r="D14" s="65">
        <v>2</v>
      </c>
      <c r="E14" s="65" t="s">
        <v>65</v>
      </c>
      <c r="F14" s="188">
        <v>2862.1761658031087</v>
      </c>
      <c r="G14" s="188">
        <v>0.56007300010138894</v>
      </c>
      <c r="H14" s="197">
        <v>5110.3626943005183</v>
      </c>
      <c r="Q14" s="136" t="s">
        <v>4</v>
      </c>
      <c r="R14" s="65" t="s">
        <v>1</v>
      </c>
      <c r="S14" s="65">
        <v>2</v>
      </c>
      <c r="T14" s="65" t="s">
        <v>69</v>
      </c>
      <c r="U14" s="66">
        <v>698.44559585492266</v>
      </c>
      <c r="V14" s="66">
        <v>0.10901738778811167</v>
      </c>
      <c r="W14" s="183">
        <v>6406.7357512953367</v>
      </c>
      <c r="AA14" s="227"/>
      <c r="AB14" s="147"/>
      <c r="AC14" s="147" t="s">
        <v>54</v>
      </c>
      <c r="AD14" s="148">
        <v>8.7300000000000003E-2</v>
      </c>
    </row>
    <row r="15" spans="2:30" x14ac:dyDescent="0.25">
      <c r="B15" s="136" t="s">
        <v>7</v>
      </c>
      <c r="C15" s="65" t="s">
        <v>1</v>
      </c>
      <c r="D15" s="65">
        <v>2</v>
      </c>
      <c r="E15" s="65" t="s">
        <v>65</v>
      </c>
      <c r="F15" s="188">
        <v>3447.6683937823836</v>
      </c>
      <c r="G15" s="188">
        <v>0.53952809535392854</v>
      </c>
      <c r="H15" s="197">
        <v>6390.1554404145081</v>
      </c>
      <c r="Q15" s="136" t="s">
        <v>7</v>
      </c>
      <c r="R15" s="65" t="s">
        <v>1</v>
      </c>
      <c r="S15" s="65">
        <v>2</v>
      </c>
      <c r="T15" s="65" t="s">
        <v>69</v>
      </c>
      <c r="U15" s="66">
        <v>1831.6062176165799</v>
      </c>
      <c r="V15" s="66">
        <v>0.32655889145496525</v>
      </c>
      <c r="W15" s="183">
        <v>5608.8082901554408</v>
      </c>
      <c r="AA15" s="227" t="s">
        <v>68</v>
      </c>
      <c r="AB15" s="147">
        <v>0.87539</v>
      </c>
      <c r="AC15" s="147">
        <v>1</v>
      </c>
      <c r="AD15" s="149">
        <v>-7.6069999999999999E-2</v>
      </c>
    </row>
    <row r="16" spans="2:30" x14ac:dyDescent="0.25">
      <c r="B16" s="136" t="s">
        <v>0</v>
      </c>
      <c r="C16" s="65" t="s">
        <v>1</v>
      </c>
      <c r="D16" s="65">
        <v>2</v>
      </c>
      <c r="E16" s="65" t="s">
        <v>65</v>
      </c>
      <c r="F16" s="188">
        <v>4404.6632124352327</v>
      </c>
      <c r="G16" s="188">
        <v>0.50986625082468662</v>
      </c>
      <c r="H16" s="197">
        <v>8638.8601036269429</v>
      </c>
      <c r="Q16" s="136" t="s">
        <v>0</v>
      </c>
      <c r="R16" s="65" t="s">
        <v>1</v>
      </c>
      <c r="S16" s="65">
        <v>2</v>
      </c>
      <c r="T16" s="65" t="s">
        <v>69</v>
      </c>
      <c r="U16" s="66" t="s">
        <v>41</v>
      </c>
      <c r="V16" s="66" t="s">
        <v>41</v>
      </c>
      <c r="W16" s="183" t="s">
        <v>41</v>
      </c>
      <c r="AA16" s="227"/>
      <c r="AB16" s="147" t="s">
        <v>54</v>
      </c>
      <c r="AC16" s="147"/>
      <c r="AD16" s="148">
        <v>0.74990000000000001</v>
      </c>
    </row>
    <row r="17" spans="2:30" x14ac:dyDescent="0.25">
      <c r="B17" s="136" t="s">
        <v>6</v>
      </c>
      <c r="C17" s="65" t="s">
        <v>1</v>
      </c>
      <c r="D17" s="65">
        <v>2</v>
      </c>
      <c r="E17" s="65" t="s">
        <v>65</v>
      </c>
      <c r="F17" s="188">
        <v>2820.2072538860107</v>
      </c>
      <c r="G17" s="188">
        <v>0.45689582808696383</v>
      </c>
      <c r="H17" s="197">
        <v>6172.5388601036275</v>
      </c>
      <c r="Q17" s="136" t="s">
        <v>6</v>
      </c>
      <c r="R17" s="65" t="s">
        <v>1</v>
      </c>
      <c r="S17" s="65">
        <v>2</v>
      </c>
      <c r="T17" s="65" t="s">
        <v>69</v>
      </c>
      <c r="U17" s="66" t="s">
        <v>41</v>
      </c>
      <c r="V17" s="66" t="s">
        <v>41</v>
      </c>
      <c r="W17" s="183" t="s">
        <v>41</v>
      </c>
      <c r="AA17" s="227" t="s">
        <v>95</v>
      </c>
      <c r="AB17" s="147">
        <v>0.39208999999999999</v>
      </c>
      <c r="AC17" s="150">
        <v>-7.6069999999999999E-2</v>
      </c>
      <c r="AD17" s="148">
        <v>1</v>
      </c>
    </row>
    <row r="18" spans="2:30" ht="15.75" thickBot="1" x14ac:dyDescent="0.3">
      <c r="B18" s="136" t="s">
        <v>5</v>
      </c>
      <c r="C18" s="65" t="s">
        <v>1</v>
      </c>
      <c r="D18" s="65">
        <v>2</v>
      </c>
      <c r="E18" s="65" t="s">
        <v>65</v>
      </c>
      <c r="F18" s="188">
        <v>3219.1709844559587</v>
      </c>
      <c r="G18" s="188">
        <v>0.47416622147599785</v>
      </c>
      <c r="H18" s="197">
        <v>6789.1191709844561</v>
      </c>
      <c r="Q18" s="136" t="s">
        <v>5</v>
      </c>
      <c r="R18" s="65" t="s">
        <v>1</v>
      </c>
      <c r="S18" s="65">
        <v>2</v>
      </c>
      <c r="T18" s="65" t="s">
        <v>69</v>
      </c>
      <c r="U18" s="66" t="s">
        <v>41</v>
      </c>
      <c r="V18" s="66" t="s">
        <v>41</v>
      </c>
      <c r="W18" s="183" t="s">
        <v>41</v>
      </c>
      <c r="AA18" s="229"/>
      <c r="AB18" s="151">
        <v>8.7300000000000003E-2</v>
      </c>
      <c r="AC18" s="151">
        <v>0.74990000000000001</v>
      </c>
      <c r="AD18" s="152"/>
    </row>
    <row r="19" spans="2:30" x14ac:dyDescent="0.25">
      <c r="B19" s="136" t="s">
        <v>9</v>
      </c>
      <c r="C19" s="65" t="s">
        <v>1</v>
      </c>
      <c r="D19" s="65">
        <v>3</v>
      </c>
      <c r="E19" s="65" t="s">
        <v>65</v>
      </c>
      <c r="F19" s="188">
        <v>3087.5647668393785</v>
      </c>
      <c r="G19" s="188">
        <v>0.45722396992250447</v>
      </c>
      <c r="H19" s="197">
        <v>6752.8497409326419</v>
      </c>
      <c r="Q19" s="136" t="s">
        <v>9</v>
      </c>
      <c r="R19" s="65" t="s">
        <v>1</v>
      </c>
      <c r="S19" s="65">
        <v>3</v>
      </c>
      <c r="T19" s="65" t="s">
        <v>69</v>
      </c>
      <c r="U19" s="66">
        <v>4432.6424870466326</v>
      </c>
      <c r="V19" s="66">
        <v>0.47620372947397721</v>
      </c>
      <c r="W19" s="183">
        <v>9308.2901554404143</v>
      </c>
    </row>
    <row r="20" spans="2:30" x14ac:dyDescent="0.25">
      <c r="B20" s="136" t="s">
        <v>3</v>
      </c>
      <c r="C20" s="65" t="s">
        <v>1</v>
      </c>
      <c r="D20" s="65">
        <v>3</v>
      </c>
      <c r="E20" s="65" t="s">
        <v>65</v>
      </c>
      <c r="F20" s="188">
        <v>3206.2176165803107</v>
      </c>
      <c r="G20" s="188">
        <v>0.48521916411824673</v>
      </c>
      <c r="H20" s="197">
        <v>6607.7720207253878</v>
      </c>
      <c r="Q20" s="136" t="s">
        <v>3</v>
      </c>
      <c r="R20" s="65" t="s">
        <v>1</v>
      </c>
      <c r="S20" s="65">
        <v>3</v>
      </c>
      <c r="T20" s="65" t="s">
        <v>69</v>
      </c>
      <c r="U20" s="66">
        <v>3411.3989637305699</v>
      </c>
      <c r="V20" s="66">
        <v>0.55281276238455079</v>
      </c>
      <c r="W20" s="183">
        <v>6170.984455958549</v>
      </c>
    </row>
    <row r="21" spans="2:30" x14ac:dyDescent="0.25">
      <c r="B21" s="136" t="s">
        <v>5</v>
      </c>
      <c r="C21" s="65" t="s">
        <v>1</v>
      </c>
      <c r="D21" s="65">
        <v>3</v>
      </c>
      <c r="E21" s="65" t="s">
        <v>65</v>
      </c>
      <c r="F21" s="188">
        <v>2604.1450777202067</v>
      </c>
      <c r="G21" s="188">
        <v>0.39073311047189602</v>
      </c>
      <c r="H21" s="197">
        <v>6664.7668393782387</v>
      </c>
      <c r="Q21" s="136" t="s">
        <v>5</v>
      </c>
      <c r="R21" s="65" t="s">
        <v>1</v>
      </c>
      <c r="S21" s="65">
        <v>3</v>
      </c>
      <c r="T21" s="65" t="s">
        <v>69</v>
      </c>
      <c r="U21" s="66">
        <v>3033.1606217616581</v>
      </c>
      <c r="V21" s="66">
        <v>0.46112642772745172</v>
      </c>
      <c r="W21" s="183">
        <v>6577.7202072538867</v>
      </c>
    </row>
    <row r="22" spans="2:30" x14ac:dyDescent="0.25">
      <c r="B22" s="136" t="s">
        <v>7</v>
      </c>
      <c r="C22" s="65" t="s">
        <v>1</v>
      </c>
      <c r="D22" s="65">
        <v>3</v>
      </c>
      <c r="E22" s="65" t="s">
        <v>65</v>
      </c>
      <c r="F22" s="188">
        <v>2748.7046632124352</v>
      </c>
      <c r="G22" s="188">
        <v>0.44531184420381092</v>
      </c>
      <c r="H22" s="197">
        <v>6172.5388601036275</v>
      </c>
      <c r="Q22" s="136" t="s">
        <v>7</v>
      </c>
      <c r="R22" s="65" t="s">
        <v>1</v>
      </c>
      <c r="S22" s="65">
        <v>3</v>
      </c>
      <c r="T22" s="65" t="s">
        <v>69</v>
      </c>
      <c r="U22" s="66">
        <v>2832.1243523316057</v>
      </c>
      <c r="V22" s="66">
        <v>0.45645093945720239</v>
      </c>
      <c r="W22" s="183">
        <v>6204.6632124352336</v>
      </c>
    </row>
    <row r="23" spans="2:30" x14ac:dyDescent="0.25">
      <c r="B23" s="136" t="s">
        <v>6</v>
      </c>
      <c r="C23" s="65" t="s">
        <v>1</v>
      </c>
      <c r="D23" s="65">
        <v>3</v>
      </c>
      <c r="E23" s="65" t="s">
        <v>65</v>
      </c>
      <c r="F23" s="188">
        <v>2323.3160621761658</v>
      </c>
      <c r="G23" s="188">
        <v>0.47839539101675016</v>
      </c>
      <c r="H23" s="197">
        <v>4856.4766839378244</v>
      </c>
      <c r="Q23" s="136" t="s">
        <v>6</v>
      </c>
      <c r="R23" s="65" t="s">
        <v>1</v>
      </c>
      <c r="S23" s="65">
        <v>3</v>
      </c>
      <c r="T23" s="65" t="s">
        <v>69</v>
      </c>
      <c r="U23" s="66">
        <v>3780.8290155440409</v>
      </c>
      <c r="V23" s="66">
        <v>0.43668461998803104</v>
      </c>
      <c r="W23" s="183">
        <v>8658.031088082902</v>
      </c>
    </row>
    <row r="24" spans="2:30" x14ac:dyDescent="0.25">
      <c r="B24" s="136" t="s">
        <v>8</v>
      </c>
      <c r="C24" s="65" t="s">
        <v>1</v>
      </c>
      <c r="D24" s="65">
        <v>3</v>
      </c>
      <c r="E24" s="65" t="s">
        <v>65</v>
      </c>
      <c r="F24" s="188">
        <v>3120.2072538860107</v>
      </c>
      <c r="G24" s="188">
        <v>0.46241265453428554</v>
      </c>
      <c r="H24" s="197">
        <v>6747.6683937823836</v>
      </c>
      <c r="Q24" s="136" t="s">
        <v>8</v>
      </c>
      <c r="R24" s="65" t="s">
        <v>1</v>
      </c>
      <c r="S24" s="65">
        <v>3</v>
      </c>
      <c r="T24" s="65" t="s">
        <v>69</v>
      </c>
      <c r="U24" s="66">
        <v>2523.8341968911918</v>
      </c>
      <c r="V24" s="66">
        <v>0.44832029452369998</v>
      </c>
      <c r="W24" s="183">
        <v>5629.5336787564765</v>
      </c>
    </row>
    <row r="25" spans="2:30" x14ac:dyDescent="0.25">
      <c r="B25" s="136" t="s">
        <v>0</v>
      </c>
      <c r="C25" s="65" t="s">
        <v>1</v>
      </c>
      <c r="D25" s="65">
        <v>3</v>
      </c>
      <c r="E25" s="65" t="s">
        <v>65</v>
      </c>
      <c r="F25" s="188">
        <v>3779.2746113989633</v>
      </c>
      <c r="G25" s="188">
        <v>0.46243580802637413</v>
      </c>
      <c r="H25" s="197">
        <v>8172.5388601036275</v>
      </c>
      <c r="Q25" s="136" t="s">
        <v>0</v>
      </c>
      <c r="R25" s="65" t="s">
        <v>1</v>
      </c>
      <c r="S25" s="65">
        <v>3</v>
      </c>
      <c r="T25" s="65" t="s">
        <v>69</v>
      </c>
      <c r="U25" s="66">
        <v>3748.1865284974092</v>
      </c>
      <c r="V25" s="66">
        <v>0.46989282234491714</v>
      </c>
      <c r="W25" s="183">
        <v>7976.6839378238346</v>
      </c>
    </row>
    <row r="26" spans="2:30" ht="15.75" thickBot="1" x14ac:dyDescent="0.3">
      <c r="B26" s="138" t="s">
        <v>4</v>
      </c>
      <c r="C26" s="139" t="s">
        <v>1</v>
      </c>
      <c r="D26" s="139">
        <v>3</v>
      </c>
      <c r="E26" s="139" t="s">
        <v>65</v>
      </c>
      <c r="F26" s="195">
        <v>3148.1865284974087</v>
      </c>
      <c r="G26" s="195">
        <v>0.53284223449969303</v>
      </c>
      <c r="H26" s="196">
        <v>5908.2901554404134</v>
      </c>
      <c r="Q26" s="138" t="s">
        <v>4</v>
      </c>
      <c r="R26" s="139" t="s">
        <v>1</v>
      </c>
      <c r="S26" s="139">
        <v>3</v>
      </c>
      <c r="T26" s="139" t="s">
        <v>69</v>
      </c>
      <c r="U26" s="195">
        <v>3338.8601036269433</v>
      </c>
      <c r="V26" s="195">
        <v>0.47417218543046363</v>
      </c>
      <c r="W26" s="196">
        <v>7041.4507772020725</v>
      </c>
    </row>
    <row r="27" spans="2:30" x14ac:dyDescent="0.25">
      <c r="U27" s="66"/>
    </row>
    <row r="28" spans="2:30" ht="15.75" thickBot="1" x14ac:dyDescent="0.3"/>
    <row r="29" spans="2:30" x14ac:dyDescent="0.25">
      <c r="B29" s="133" t="s">
        <v>43</v>
      </c>
      <c r="C29" s="134" t="s">
        <v>94</v>
      </c>
      <c r="D29" s="134" t="s">
        <v>68</v>
      </c>
      <c r="E29" s="135" t="s">
        <v>95</v>
      </c>
    </row>
    <row r="30" spans="2:30" x14ac:dyDescent="0.25">
      <c r="B30" s="136" t="s">
        <v>93</v>
      </c>
      <c r="C30" s="65">
        <v>4.6100000000000002E-2</v>
      </c>
      <c r="D30" s="65">
        <v>8.6199999999999999E-2</v>
      </c>
      <c r="E30" s="137">
        <v>8.14E-2</v>
      </c>
    </row>
    <row r="31" spans="2:30" ht="15.75" thickBot="1" x14ac:dyDescent="0.3">
      <c r="B31" s="136" t="s">
        <v>73</v>
      </c>
      <c r="C31" s="65">
        <v>4.1099999999999998E-2</v>
      </c>
      <c r="D31" s="28">
        <v>2.1399999999999999E-2</v>
      </c>
      <c r="E31" s="137">
        <v>3.4000000000000002E-2</v>
      </c>
    </row>
    <row r="32" spans="2:30" x14ac:dyDescent="0.25">
      <c r="B32" s="136" t="s">
        <v>87</v>
      </c>
      <c r="C32" s="126">
        <v>3376.6410000000001</v>
      </c>
      <c r="D32" s="28">
        <v>0.48074099999999997</v>
      </c>
      <c r="E32" s="137">
        <v>7030.3320000000003</v>
      </c>
    </row>
    <row r="33" spans="2:26" x14ac:dyDescent="0.25">
      <c r="B33" s="136" t="s">
        <v>86</v>
      </c>
      <c r="C33" s="28">
        <v>15.681509999999999</v>
      </c>
      <c r="D33" s="28">
        <v>5.6297709999999999</v>
      </c>
      <c r="E33" s="137">
        <v>15.177759999999999</v>
      </c>
    </row>
    <row r="34" spans="2:26" ht="15.75" thickBot="1" x14ac:dyDescent="0.3">
      <c r="B34" s="138" t="s">
        <v>53</v>
      </c>
      <c r="C34" s="139">
        <v>927.28</v>
      </c>
      <c r="D34" s="140">
        <v>4.7399999999999998E-2</v>
      </c>
      <c r="E34" s="141">
        <v>1668.6</v>
      </c>
      <c r="O34" s="127"/>
    </row>
    <row r="37" spans="2:26" ht="15.75" thickBot="1" x14ac:dyDescent="0.3">
      <c r="B37" s="31" t="s">
        <v>96</v>
      </c>
    </row>
    <row r="38" spans="2:26" x14ac:dyDescent="0.25">
      <c r="B38" s="220" t="s">
        <v>97</v>
      </c>
      <c r="C38" s="203"/>
      <c r="D38" s="203"/>
      <c r="E38" s="204"/>
      <c r="N38" s="142"/>
      <c r="O38" s="143"/>
      <c r="P38" s="190"/>
      <c r="Q38" s="144"/>
    </row>
    <row r="39" spans="2:26" x14ac:dyDescent="0.25">
      <c r="B39" s="221" t="s">
        <v>89</v>
      </c>
      <c r="C39" s="209"/>
      <c r="D39" s="209"/>
      <c r="E39" s="222"/>
    </row>
    <row r="40" spans="2:26" x14ac:dyDescent="0.25">
      <c r="B40" s="48"/>
      <c r="C40" s="49" t="s">
        <v>94</v>
      </c>
      <c r="D40" s="49" t="s">
        <v>68</v>
      </c>
      <c r="E40" s="50" t="s">
        <v>95</v>
      </c>
    </row>
    <row r="41" spans="2:26" x14ac:dyDescent="0.25">
      <c r="B41" s="221" t="s">
        <v>94</v>
      </c>
      <c r="C41" s="128">
        <v>1</v>
      </c>
      <c r="D41" s="128">
        <v>0.27877999999999997</v>
      </c>
      <c r="E41" s="129">
        <v>0.94020000000000004</v>
      </c>
    </row>
    <row r="42" spans="2:26" x14ac:dyDescent="0.25">
      <c r="B42" s="221"/>
      <c r="C42" s="128"/>
      <c r="D42" s="128">
        <v>0.18709999999999999</v>
      </c>
      <c r="E42" s="129" t="s">
        <v>54</v>
      </c>
    </row>
    <row r="43" spans="2:26" x14ac:dyDescent="0.25">
      <c r="B43" s="221" t="s">
        <v>68</v>
      </c>
      <c r="C43" s="128">
        <v>0.27877999999999997</v>
      </c>
      <c r="D43" s="128">
        <v>1</v>
      </c>
      <c r="E43" s="130">
        <v>-6.0260000000000001E-2</v>
      </c>
    </row>
    <row r="44" spans="2:26" x14ac:dyDescent="0.25">
      <c r="B44" s="221"/>
      <c r="C44" s="128">
        <v>0.18709999999999999</v>
      </c>
      <c r="D44" s="128"/>
      <c r="E44" s="129">
        <v>0.77969999999999995</v>
      </c>
    </row>
    <row r="45" spans="2:26" x14ac:dyDescent="0.25">
      <c r="B45" s="221" t="s">
        <v>95</v>
      </c>
      <c r="C45" s="128">
        <v>0.94020000000000004</v>
      </c>
      <c r="D45" s="77">
        <v>-6.0260000000000001E-2</v>
      </c>
      <c r="E45" s="129">
        <v>1</v>
      </c>
    </row>
    <row r="46" spans="2:26" ht="15.75" thickBot="1" x14ac:dyDescent="0.3">
      <c r="B46" s="223"/>
      <c r="C46" s="131" t="s">
        <v>54</v>
      </c>
      <c r="D46" s="131">
        <v>0.77969999999999995</v>
      </c>
      <c r="E46" s="132"/>
    </row>
    <row r="48" spans="2:26" x14ac:dyDescent="0.25">
      <c r="U48" s="32"/>
      <c r="Z48" s="32"/>
    </row>
    <row r="51" spans="2:16" x14ac:dyDescent="0.25">
      <c r="O51" s="32"/>
    </row>
    <row r="57" spans="2:16" x14ac:dyDescent="0.25">
      <c r="B57" s="32"/>
    </row>
    <row r="58" spans="2:16" x14ac:dyDescent="0.25">
      <c r="P58" s="191"/>
    </row>
    <row r="77" spans="2:2" x14ac:dyDescent="0.25">
      <c r="B77" s="127"/>
    </row>
    <row r="85" spans="2:16" x14ac:dyDescent="0.25">
      <c r="P85" s="191"/>
    </row>
    <row r="86" spans="2:16" x14ac:dyDescent="0.25">
      <c r="B86" s="32"/>
    </row>
  </sheetData>
  <mergeCells count="10">
    <mergeCell ref="AA10:AD10"/>
    <mergeCell ref="AA11:AD11"/>
    <mergeCell ref="AA13:AA14"/>
    <mergeCell ref="AA15:AA16"/>
    <mergeCell ref="AA17:AA18"/>
    <mergeCell ref="B38:E38"/>
    <mergeCell ref="B39:E39"/>
    <mergeCell ref="B41:B42"/>
    <mergeCell ref="B43:B44"/>
    <mergeCell ref="B45:B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SAREC</vt:lpstr>
      <vt:lpstr>Pinetree &amp; Rohwer</vt:lpstr>
      <vt:lpstr>SAREC results</vt:lpstr>
      <vt:lpstr>SAREC results2</vt:lpstr>
      <vt:lpstr>Pintree&amp;Rohwer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Maral Etesami</dc:creator>
  <cp:lastModifiedBy>Maral Etesami</cp:lastModifiedBy>
  <dcterms:created xsi:type="dcterms:W3CDTF">2025-02-10T17:33:18Z</dcterms:created>
  <dcterms:modified xsi:type="dcterms:W3CDTF">2025-02-24T20:34:03Z</dcterms:modified>
</cp:coreProperties>
</file>