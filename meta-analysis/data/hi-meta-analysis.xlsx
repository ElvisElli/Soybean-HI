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tesami\Box\Maral-Program-Associate\2025\HI paper\meta-analysis\"/>
    </mc:Choice>
  </mc:AlternateContent>
  <xr:revisionPtr revIDLastSave="0" documentId="13_ncr:1_{5524BFF9-3F5C-4DF7-B07C-3523D86B615A}" xr6:coauthVersionLast="47" xr6:coauthVersionMax="47" xr10:uidLastSave="{00000000-0000-0000-0000-000000000000}"/>
  <bookViews>
    <workbookView xWindow="-120" yWindow="-120" windowWidth="29040" windowHeight="15720" xr2:uid="{D1F5FEB1-E1E7-44E1-AA0B-8479228863AA}"/>
  </bookViews>
  <sheets>
    <sheet name="Sheet1" sheetId="1" r:id="rId1"/>
    <sheet name="plo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3" i="2" l="1"/>
  <c r="Z42" i="2"/>
  <c r="Y43" i="2"/>
  <c r="Y42" i="2"/>
  <c r="X43" i="2"/>
  <c r="X42" i="2"/>
  <c r="W43" i="2"/>
  <c r="W42" i="2"/>
  <c r="M53" i="1"/>
  <c r="M54" i="1"/>
  <c r="M55" i="1"/>
  <c r="M56" i="1"/>
  <c r="M57" i="1"/>
  <c r="M52" i="1"/>
  <c r="L57" i="1"/>
  <c r="L56" i="1"/>
  <c r="L55" i="1"/>
  <c r="L54" i="1"/>
  <c r="L53" i="1"/>
  <c r="L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tc={3361EDE9-FD28-47B3-ACA8-EC05CF071E15}</author>
  </authors>
  <commentList>
    <comment ref="G2" authorId="0" shapeId="0" xr:uid="{3361EDE9-FD28-47B3-ACA8-EC05CF071E1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Approximate for Columbia, MO</t>
      </text>
    </comment>
  </commentList>
</comments>
</file>

<file path=xl/sharedStrings.xml><?xml version="1.0" encoding="utf-8"?>
<sst xmlns="http://schemas.openxmlformats.org/spreadsheetml/2006/main" count="344" uniqueCount="43">
  <si>
    <t>Country</t>
  </si>
  <si>
    <t>USA</t>
  </si>
  <si>
    <t>Lat</t>
  </si>
  <si>
    <t>Long</t>
  </si>
  <si>
    <t>HI</t>
  </si>
  <si>
    <t>Methodology</t>
  </si>
  <si>
    <t xml:space="preserve">Paper # </t>
  </si>
  <si>
    <t>Title</t>
  </si>
  <si>
    <t>Harvest Index of Soybeans as Affected by Planting Date and Maturity Rating</t>
  </si>
  <si>
    <t>Paper_Year</t>
  </si>
  <si>
    <t>State</t>
  </si>
  <si>
    <t>Missouri</t>
  </si>
  <si>
    <t>Treatment1</t>
  </si>
  <si>
    <t>Treatment2</t>
  </si>
  <si>
    <t>Treatment3</t>
  </si>
  <si>
    <t>April/22</t>
  </si>
  <si>
    <t>May/17</t>
  </si>
  <si>
    <t>June/21</t>
  </si>
  <si>
    <t>July/22</t>
  </si>
  <si>
    <t>MGI</t>
  </si>
  <si>
    <t>Yield</t>
  </si>
  <si>
    <t>Biomass</t>
  </si>
  <si>
    <t>MGII</t>
  </si>
  <si>
    <t>MGIII</t>
  </si>
  <si>
    <t>MGIV</t>
  </si>
  <si>
    <t>MGV</t>
  </si>
  <si>
    <t>June/1</t>
  </si>
  <si>
    <t>April/29</t>
  </si>
  <si>
    <t>May/15</t>
  </si>
  <si>
    <t>May/31</t>
  </si>
  <si>
    <t>July/11</t>
  </si>
  <si>
    <t>Yield/biological yield (maximum biomass at R6)</t>
  </si>
  <si>
    <t>High-yield factors in the new soybean cultivar ‘Soramizuki’ derived from a US parent cultivar</t>
  </si>
  <si>
    <t>Japan</t>
  </si>
  <si>
    <t>Ibaraki</t>
  </si>
  <si>
    <t>Soramizuki</t>
  </si>
  <si>
    <t>Sachiyutaka A1 gou</t>
  </si>
  <si>
    <t>UA4805</t>
  </si>
  <si>
    <t>Yield/above aground biomass (At R8?)</t>
  </si>
  <si>
    <t>HI 0.5</t>
  </si>
  <si>
    <t>HI 0.3</t>
  </si>
  <si>
    <t>HI 0.1</t>
  </si>
  <si>
    <t>HI: 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</si>
</sst>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0" borderId="0" xfId="0" applyNumberFormat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1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Sheet1!$J$2:$J$57</c:f>
              <c:numCache>
                <c:formatCode>General</c:formatCode>
                <c:ptCount val="56"/>
                <c:pt idx="0">
                  <c:v>1971</c:v>
                </c:pt>
                <c:pt idx="1">
                  <c:v>1971</c:v>
                </c:pt>
                <c:pt idx="2">
                  <c:v>1971</c:v>
                </c:pt>
                <c:pt idx="3">
                  <c:v>1971</c:v>
                </c:pt>
                <c:pt idx="4">
                  <c:v>1971</c:v>
                </c:pt>
                <c:pt idx="5">
                  <c:v>1971</c:v>
                </c:pt>
                <c:pt idx="6">
                  <c:v>1971</c:v>
                </c:pt>
                <c:pt idx="7">
                  <c:v>1971</c:v>
                </c:pt>
                <c:pt idx="8">
                  <c:v>1971</c:v>
                </c:pt>
                <c:pt idx="9">
                  <c:v>1971</c:v>
                </c:pt>
                <c:pt idx="10">
                  <c:v>1971</c:v>
                </c:pt>
                <c:pt idx="11">
                  <c:v>1971</c:v>
                </c:pt>
                <c:pt idx="12">
                  <c:v>1971</c:v>
                </c:pt>
                <c:pt idx="13">
                  <c:v>1971</c:v>
                </c:pt>
                <c:pt idx="14">
                  <c:v>1971</c:v>
                </c:pt>
                <c:pt idx="15">
                  <c:v>1971</c:v>
                </c:pt>
                <c:pt idx="16">
                  <c:v>1971</c:v>
                </c:pt>
                <c:pt idx="17">
                  <c:v>1971</c:v>
                </c:pt>
                <c:pt idx="18">
                  <c:v>1971</c:v>
                </c:pt>
                <c:pt idx="19">
                  <c:v>1971</c:v>
                </c:pt>
                <c:pt idx="20">
                  <c:v>1971</c:v>
                </c:pt>
                <c:pt idx="21">
                  <c:v>1971</c:v>
                </c:pt>
                <c:pt idx="22">
                  <c:v>1971</c:v>
                </c:pt>
                <c:pt idx="23">
                  <c:v>1971</c:v>
                </c:pt>
                <c:pt idx="24">
                  <c:v>1971</c:v>
                </c:pt>
                <c:pt idx="25">
                  <c:v>1973</c:v>
                </c:pt>
                <c:pt idx="26">
                  <c:v>1973</c:v>
                </c:pt>
                <c:pt idx="27">
                  <c:v>1973</c:v>
                </c:pt>
                <c:pt idx="28">
                  <c:v>1973</c:v>
                </c:pt>
                <c:pt idx="29">
                  <c:v>1973</c:v>
                </c:pt>
                <c:pt idx="30">
                  <c:v>1973</c:v>
                </c:pt>
                <c:pt idx="31">
                  <c:v>1973</c:v>
                </c:pt>
                <c:pt idx="32">
                  <c:v>1973</c:v>
                </c:pt>
                <c:pt idx="33">
                  <c:v>1973</c:v>
                </c:pt>
                <c:pt idx="34">
                  <c:v>1973</c:v>
                </c:pt>
                <c:pt idx="35">
                  <c:v>1973</c:v>
                </c:pt>
                <c:pt idx="36">
                  <c:v>1973</c:v>
                </c:pt>
                <c:pt idx="37">
                  <c:v>1973</c:v>
                </c:pt>
                <c:pt idx="38">
                  <c:v>1973</c:v>
                </c:pt>
                <c:pt idx="39">
                  <c:v>1973</c:v>
                </c:pt>
                <c:pt idx="40">
                  <c:v>1973</c:v>
                </c:pt>
                <c:pt idx="41">
                  <c:v>1973</c:v>
                </c:pt>
                <c:pt idx="42">
                  <c:v>1973</c:v>
                </c:pt>
                <c:pt idx="43">
                  <c:v>1973</c:v>
                </c:pt>
                <c:pt idx="44">
                  <c:v>1973</c:v>
                </c:pt>
                <c:pt idx="45">
                  <c:v>1973</c:v>
                </c:pt>
                <c:pt idx="46">
                  <c:v>1973</c:v>
                </c:pt>
                <c:pt idx="47">
                  <c:v>1973</c:v>
                </c:pt>
                <c:pt idx="48">
                  <c:v>1973</c:v>
                </c:pt>
                <c:pt idx="49">
                  <c:v>1973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2023</c:v>
                </c:pt>
                <c:pt idx="54">
                  <c:v>2023</c:v>
                </c:pt>
                <c:pt idx="55">
                  <c:v>2023</c:v>
                </c:pt>
              </c:numCache>
            </c:numRef>
          </c:xVal>
          <c:yVal>
            <c:numRef>
              <c:f>Sheet1!$K$2:$K$57</c:f>
              <c:numCache>
                <c:formatCode>General</c:formatCode>
                <c:ptCount val="56"/>
                <c:pt idx="0">
                  <c:v>0.37</c:v>
                </c:pt>
                <c:pt idx="1">
                  <c:v>0.39</c:v>
                </c:pt>
                <c:pt idx="2">
                  <c:v>0.34</c:v>
                </c:pt>
                <c:pt idx="3">
                  <c:v>0.35</c:v>
                </c:pt>
                <c:pt idx="4">
                  <c:v>0.25</c:v>
                </c:pt>
                <c:pt idx="5">
                  <c:v>0.34</c:v>
                </c:pt>
                <c:pt idx="6">
                  <c:v>0.38</c:v>
                </c:pt>
                <c:pt idx="7">
                  <c:v>0.33</c:v>
                </c:pt>
                <c:pt idx="8">
                  <c:v>0.33</c:v>
                </c:pt>
                <c:pt idx="9">
                  <c:v>0.26</c:v>
                </c:pt>
                <c:pt idx="10">
                  <c:v>0.37</c:v>
                </c:pt>
                <c:pt idx="11">
                  <c:v>0.37</c:v>
                </c:pt>
                <c:pt idx="12">
                  <c:v>0.34</c:v>
                </c:pt>
                <c:pt idx="13">
                  <c:v>0.33</c:v>
                </c:pt>
                <c:pt idx="14">
                  <c:v>0.24</c:v>
                </c:pt>
                <c:pt idx="15">
                  <c:v>0.37</c:v>
                </c:pt>
                <c:pt idx="16">
                  <c:v>0.41</c:v>
                </c:pt>
                <c:pt idx="17">
                  <c:v>0.35</c:v>
                </c:pt>
                <c:pt idx="18">
                  <c:v>0.34</c:v>
                </c:pt>
                <c:pt idx="19">
                  <c:v>0.27</c:v>
                </c:pt>
                <c:pt idx="20">
                  <c:v>0.31</c:v>
                </c:pt>
                <c:pt idx="21">
                  <c:v>0.35</c:v>
                </c:pt>
                <c:pt idx="22">
                  <c:v>0.27</c:v>
                </c:pt>
                <c:pt idx="23">
                  <c:v>0.28999999999999998</c:v>
                </c:pt>
                <c:pt idx="24">
                  <c:v>0.27</c:v>
                </c:pt>
                <c:pt idx="25">
                  <c:v>0.39</c:v>
                </c:pt>
                <c:pt idx="26">
                  <c:v>0.41</c:v>
                </c:pt>
                <c:pt idx="27">
                  <c:v>0.34</c:v>
                </c:pt>
                <c:pt idx="28">
                  <c:v>0.33</c:v>
                </c:pt>
                <c:pt idx="29">
                  <c:v>0.35</c:v>
                </c:pt>
                <c:pt idx="30">
                  <c:v>0.36</c:v>
                </c:pt>
                <c:pt idx="31">
                  <c:v>0.4</c:v>
                </c:pt>
                <c:pt idx="32">
                  <c:v>0.33</c:v>
                </c:pt>
                <c:pt idx="33">
                  <c:v>0.25</c:v>
                </c:pt>
                <c:pt idx="34">
                  <c:v>0.31</c:v>
                </c:pt>
                <c:pt idx="35">
                  <c:v>0.37</c:v>
                </c:pt>
                <c:pt idx="36">
                  <c:v>0.36</c:v>
                </c:pt>
                <c:pt idx="37">
                  <c:v>0.27</c:v>
                </c:pt>
                <c:pt idx="38">
                  <c:v>0.25</c:v>
                </c:pt>
                <c:pt idx="39">
                  <c:v>0.33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0.35</c:v>
                </c:pt>
                <c:pt idx="43">
                  <c:v>0.34</c:v>
                </c:pt>
                <c:pt idx="44">
                  <c:v>0.36</c:v>
                </c:pt>
                <c:pt idx="45">
                  <c:v>0.38</c:v>
                </c:pt>
                <c:pt idx="46">
                  <c:v>0.4</c:v>
                </c:pt>
                <c:pt idx="47">
                  <c:v>0.35</c:v>
                </c:pt>
                <c:pt idx="48">
                  <c:v>0.3</c:v>
                </c:pt>
                <c:pt idx="49">
                  <c:v>0.36</c:v>
                </c:pt>
                <c:pt idx="50">
                  <c:v>0.56999999999999995</c:v>
                </c:pt>
                <c:pt idx="51">
                  <c:v>0.56000000000000005</c:v>
                </c:pt>
                <c:pt idx="52">
                  <c:v>0.56999999999999995</c:v>
                </c:pt>
                <c:pt idx="53">
                  <c:v>0.46</c:v>
                </c:pt>
                <c:pt idx="54">
                  <c:v>0.47</c:v>
                </c:pt>
                <c:pt idx="55">
                  <c:v>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E3-40B8-8463-99E4500F9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896000"/>
        <c:axId val="2026894080"/>
      </c:scatterChart>
      <c:valAx>
        <c:axId val="202689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94080"/>
        <c:crosses val="autoZero"/>
        <c:crossBetween val="midCat"/>
      </c:valAx>
      <c:valAx>
        <c:axId val="202689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689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Sheet1!$K$2:$K$2037</c:f>
              <c:numCache>
                <c:formatCode>General</c:formatCode>
                <c:ptCount val="2036"/>
                <c:pt idx="0">
                  <c:v>0.37</c:v>
                </c:pt>
                <c:pt idx="1">
                  <c:v>0.39</c:v>
                </c:pt>
                <c:pt idx="2">
                  <c:v>0.34</c:v>
                </c:pt>
                <c:pt idx="3">
                  <c:v>0.35</c:v>
                </c:pt>
                <c:pt idx="4">
                  <c:v>0.25</c:v>
                </c:pt>
                <c:pt idx="5">
                  <c:v>0.34</c:v>
                </c:pt>
                <c:pt idx="6">
                  <c:v>0.38</c:v>
                </c:pt>
                <c:pt idx="7">
                  <c:v>0.33</c:v>
                </c:pt>
                <c:pt idx="8">
                  <c:v>0.33</c:v>
                </c:pt>
                <c:pt idx="9">
                  <c:v>0.26</c:v>
                </c:pt>
                <c:pt idx="10">
                  <c:v>0.37</c:v>
                </c:pt>
                <c:pt idx="11">
                  <c:v>0.37</c:v>
                </c:pt>
                <c:pt idx="12">
                  <c:v>0.34</c:v>
                </c:pt>
                <c:pt idx="13">
                  <c:v>0.33</c:v>
                </c:pt>
                <c:pt idx="14">
                  <c:v>0.24</c:v>
                </c:pt>
                <c:pt idx="15">
                  <c:v>0.37</c:v>
                </c:pt>
                <c:pt idx="16">
                  <c:v>0.41</c:v>
                </c:pt>
                <c:pt idx="17">
                  <c:v>0.35</c:v>
                </c:pt>
                <c:pt idx="18">
                  <c:v>0.34</c:v>
                </c:pt>
                <c:pt idx="19">
                  <c:v>0.27</c:v>
                </c:pt>
                <c:pt idx="20">
                  <c:v>0.31</c:v>
                </c:pt>
                <c:pt idx="21">
                  <c:v>0.35</c:v>
                </c:pt>
                <c:pt idx="22">
                  <c:v>0.27</c:v>
                </c:pt>
                <c:pt idx="23">
                  <c:v>0.28999999999999998</c:v>
                </c:pt>
                <c:pt idx="24">
                  <c:v>0.27</c:v>
                </c:pt>
                <c:pt idx="25">
                  <c:v>0.39</c:v>
                </c:pt>
                <c:pt idx="26">
                  <c:v>0.41</c:v>
                </c:pt>
                <c:pt idx="27">
                  <c:v>0.34</c:v>
                </c:pt>
                <c:pt idx="28">
                  <c:v>0.33</c:v>
                </c:pt>
                <c:pt idx="29">
                  <c:v>0.35</c:v>
                </c:pt>
                <c:pt idx="30">
                  <c:v>0.36</c:v>
                </c:pt>
                <c:pt idx="31">
                  <c:v>0.4</c:v>
                </c:pt>
                <c:pt idx="32">
                  <c:v>0.33</c:v>
                </c:pt>
                <c:pt idx="33">
                  <c:v>0.25</c:v>
                </c:pt>
                <c:pt idx="34">
                  <c:v>0.31</c:v>
                </c:pt>
                <c:pt idx="35">
                  <c:v>0.37</c:v>
                </c:pt>
                <c:pt idx="36">
                  <c:v>0.36</c:v>
                </c:pt>
                <c:pt idx="37">
                  <c:v>0.27</c:v>
                </c:pt>
                <c:pt idx="38">
                  <c:v>0.25</c:v>
                </c:pt>
                <c:pt idx="39">
                  <c:v>0.33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0.35</c:v>
                </c:pt>
                <c:pt idx="43">
                  <c:v>0.34</c:v>
                </c:pt>
                <c:pt idx="44">
                  <c:v>0.36</c:v>
                </c:pt>
                <c:pt idx="45">
                  <c:v>0.38</c:v>
                </c:pt>
                <c:pt idx="46">
                  <c:v>0.4</c:v>
                </c:pt>
                <c:pt idx="47">
                  <c:v>0.35</c:v>
                </c:pt>
                <c:pt idx="48">
                  <c:v>0.3</c:v>
                </c:pt>
                <c:pt idx="49">
                  <c:v>0.36</c:v>
                </c:pt>
                <c:pt idx="50">
                  <c:v>0.56999999999999995</c:v>
                </c:pt>
                <c:pt idx="51">
                  <c:v>0.56000000000000005</c:v>
                </c:pt>
                <c:pt idx="52">
                  <c:v>0.56999999999999995</c:v>
                </c:pt>
                <c:pt idx="53">
                  <c:v>0.46</c:v>
                </c:pt>
                <c:pt idx="54">
                  <c:v>0.47</c:v>
                </c:pt>
                <c:pt idx="55">
                  <c:v>0.33</c:v>
                </c:pt>
              </c:numCache>
            </c:numRef>
          </c:xVal>
          <c:yVal>
            <c:numRef>
              <c:f>Sheet1!$L$2:$L$2222</c:f>
              <c:numCache>
                <c:formatCode>General</c:formatCode>
                <c:ptCount val="2221"/>
                <c:pt idx="0">
                  <c:v>2404</c:v>
                </c:pt>
                <c:pt idx="1">
                  <c:v>2801</c:v>
                </c:pt>
                <c:pt idx="2">
                  <c:v>3422</c:v>
                </c:pt>
                <c:pt idx="3">
                  <c:v>3257</c:v>
                </c:pt>
                <c:pt idx="4">
                  <c:v>2234</c:v>
                </c:pt>
                <c:pt idx="5">
                  <c:v>2309</c:v>
                </c:pt>
                <c:pt idx="6">
                  <c:v>3281</c:v>
                </c:pt>
                <c:pt idx="7">
                  <c:v>2830</c:v>
                </c:pt>
                <c:pt idx="8">
                  <c:v>2998</c:v>
                </c:pt>
                <c:pt idx="9">
                  <c:v>2036</c:v>
                </c:pt>
                <c:pt idx="10">
                  <c:v>2430</c:v>
                </c:pt>
                <c:pt idx="11">
                  <c:v>2763</c:v>
                </c:pt>
                <c:pt idx="12">
                  <c:v>2826</c:v>
                </c:pt>
                <c:pt idx="13">
                  <c:v>2685</c:v>
                </c:pt>
                <c:pt idx="14">
                  <c:v>2142</c:v>
                </c:pt>
                <c:pt idx="15">
                  <c:v>2099</c:v>
                </c:pt>
                <c:pt idx="16">
                  <c:v>2511</c:v>
                </c:pt>
                <c:pt idx="17">
                  <c:v>2267</c:v>
                </c:pt>
                <c:pt idx="18">
                  <c:v>1995</c:v>
                </c:pt>
                <c:pt idx="19">
                  <c:v>1999</c:v>
                </c:pt>
                <c:pt idx="20">
                  <c:v>888</c:v>
                </c:pt>
                <c:pt idx="21">
                  <c:v>1101</c:v>
                </c:pt>
                <c:pt idx="22">
                  <c:v>928</c:v>
                </c:pt>
                <c:pt idx="23">
                  <c:v>777</c:v>
                </c:pt>
                <c:pt idx="24">
                  <c:v>1158</c:v>
                </c:pt>
                <c:pt idx="25">
                  <c:v>2034</c:v>
                </c:pt>
                <c:pt idx="26">
                  <c:v>2345</c:v>
                </c:pt>
                <c:pt idx="27">
                  <c:v>2260</c:v>
                </c:pt>
                <c:pt idx="28">
                  <c:v>2623</c:v>
                </c:pt>
                <c:pt idx="29">
                  <c:v>2780</c:v>
                </c:pt>
                <c:pt idx="30">
                  <c:v>2242</c:v>
                </c:pt>
                <c:pt idx="31">
                  <c:v>2964</c:v>
                </c:pt>
                <c:pt idx="32">
                  <c:v>2753</c:v>
                </c:pt>
                <c:pt idx="33">
                  <c:v>2032</c:v>
                </c:pt>
                <c:pt idx="34">
                  <c:v>2751</c:v>
                </c:pt>
                <c:pt idx="35">
                  <c:v>2476</c:v>
                </c:pt>
                <c:pt idx="36">
                  <c:v>2773</c:v>
                </c:pt>
                <c:pt idx="37">
                  <c:v>2294</c:v>
                </c:pt>
                <c:pt idx="38">
                  <c:v>1671</c:v>
                </c:pt>
                <c:pt idx="39">
                  <c:v>2878</c:v>
                </c:pt>
                <c:pt idx="40">
                  <c:v>1530</c:v>
                </c:pt>
                <c:pt idx="41">
                  <c:v>2065</c:v>
                </c:pt>
                <c:pt idx="42">
                  <c:v>2479</c:v>
                </c:pt>
                <c:pt idx="43">
                  <c:v>2345</c:v>
                </c:pt>
                <c:pt idx="44">
                  <c:v>2806</c:v>
                </c:pt>
                <c:pt idx="45">
                  <c:v>1696</c:v>
                </c:pt>
                <c:pt idx="46">
                  <c:v>1893</c:v>
                </c:pt>
                <c:pt idx="47">
                  <c:v>2136</c:v>
                </c:pt>
                <c:pt idx="48">
                  <c:v>1656</c:v>
                </c:pt>
                <c:pt idx="49">
                  <c:v>2372</c:v>
                </c:pt>
                <c:pt idx="50">
                  <c:v>3818</c:v>
                </c:pt>
                <c:pt idx="51">
                  <c:v>3333</c:v>
                </c:pt>
                <c:pt idx="52">
                  <c:v>4259</c:v>
                </c:pt>
                <c:pt idx="53">
                  <c:v>3854</c:v>
                </c:pt>
                <c:pt idx="54">
                  <c:v>3135</c:v>
                </c:pt>
                <c:pt idx="55">
                  <c:v>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D2-4596-9FDE-C3E53E8B3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136735"/>
        <c:axId val="2049135295"/>
      </c:scatterChart>
      <c:valAx>
        <c:axId val="2049136735"/>
        <c:scaling>
          <c:orientation val="minMax"/>
          <c:max val="0.60000000000000009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135295"/>
        <c:crosses val="autoZero"/>
        <c:crossBetween val="midCat"/>
      </c:valAx>
      <c:valAx>
        <c:axId val="2049135295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13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B050"/>
              </a:solidFill>
              <a:ln w="12700">
                <a:solidFill>
                  <a:schemeClr val="tx1"/>
                </a:solidFill>
              </a:ln>
              <a:effectLst/>
            </c:spPr>
          </c:marker>
          <c:xVal>
            <c:numRef>
              <c:f>Sheet1!$M$2:$M$2353</c:f>
              <c:numCache>
                <c:formatCode>General</c:formatCode>
                <c:ptCount val="2352"/>
                <c:pt idx="0">
                  <c:v>6497</c:v>
                </c:pt>
                <c:pt idx="1">
                  <c:v>7182</c:v>
                </c:pt>
                <c:pt idx="2">
                  <c:v>10065</c:v>
                </c:pt>
                <c:pt idx="3">
                  <c:v>9306</c:v>
                </c:pt>
                <c:pt idx="4">
                  <c:v>8936</c:v>
                </c:pt>
                <c:pt idx="5">
                  <c:v>6791</c:v>
                </c:pt>
                <c:pt idx="6">
                  <c:v>8634</c:v>
                </c:pt>
                <c:pt idx="7">
                  <c:v>8576</c:v>
                </c:pt>
                <c:pt idx="8">
                  <c:v>9087</c:v>
                </c:pt>
                <c:pt idx="9">
                  <c:v>7831</c:v>
                </c:pt>
                <c:pt idx="10">
                  <c:v>6568</c:v>
                </c:pt>
                <c:pt idx="11">
                  <c:v>7462</c:v>
                </c:pt>
                <c:pt idx="12">
                  <c:v>8311</c:v>
                </c:pt>
                <c:pt idx="13">
                  <c:v>8140</c:v>
                </c:pt>
                <c:pt idx="14">
                  <c:v>8925</c:v>
                </c:pt>
                <c:pt idx="15">
                  <c:v>5673</c:v>
                </c:pt>
                <c:pt idx="16">
                  <c:v>6124</c:v>
                </c:pt>
                <c:pt idx="17">
                  <c:v>6485</c:v>
                </c:pt>
                <c:pt idx="18">
                  <c:v>5868</c:v>
                </c:pt>
                <c:pt idx="19">
                  <c:v>7404</c:v>
                </c:pt>
                <c:pt idx="20">
                  <c:v>2865</c:v>
                </c:pt>
                <c:pt idx="21">
                  <c:v>3146</c:v>
                </c:pt>
                <c:pt idx="22">
                  <c:v>3437</c:v>
                </c:pt>
                <c:pt idx="23">
                  <c:v>2679</c:v>
                </c:pt>
                <c:pt idx="24">
                  <c:v>4289</c:v>
                </c:pt>
                <c:pt idx="25">
                  <c:v>5215</c:v>
                </c:pt>
                <c:pt idx="26">
                  <c:v>5719</c:v>
                </c:pt>
                <c:pt idx="27">
                  <c:v>6647</c:v>
                </c:pt>
                <c:pt idx="28">
                  <c:v>7942</c:v>
                </c:pt>
                <c:pt idx="29">
                  <c:v>7943</c:v>
                </c:pt>
                <c:pt idx="30">
                  <c:v>6228</c:v>
                </c:pt>
                <c:pt idx="31">
                  <c:v>7410</c:v>
                </c:pt>
                <c:pt idx="32">
                  <c:v>8336</c:v>
                </c:pt>
                <c:pt idx="33">
                  <c:v>8128</c:v>
                </c:pt>
                <c:pt idx="34">
                  <c:v>8874</c:v>
                </c:pt>
                <c:pt idx="35">
                  <c:v>6692</c:v>
                </c:pt>
                <c:pt idx="36">
                  <c:v>7703</c:v>
                </c:pt>
                <c:pt idx="37">
                  <c:v>8496</c:v>
                </c:pt>
                <c:pt idx="38">
                  <c:v>6684</c:v>
                </c:pt>
                <c:pt idx="39">
                  <c:v>8721</c:v>
                </c:pt>
                <c:pt idx="40">
                  <c:v>5276</c:v>
                </c:pt>
                <c:pt idx="41">
                  <c:v>5900</c:v>
                </c:pt>
                <c:pt idx="42">
                  <c:v>7083</c:v>
                </c:pt>
                <c:pt idx="43">
                  <c:v>6900</c:v>
                </c:pt>
                <c:pt idx="44">
                  <c:v>7794</c:v>
                </c:pt>
                <c:pt idx="45">
                  <c:v>4463</c:v>
                </c:pt>
                <c:pt idx="46">
                  <c:v>4733</c:v>
                </c:pt>
                <c:pt idx="47">
                  <c:v>6103</c:v>
                </c:pt>
                <c:pt idx="48">
                  <c:v>5520</c:v>
                </c:pt>
                <c:pt idx="49">
                  <c:v>6589</c:v>
                </c:pt>
                <c:pt idx="50" formatCode="0">
                  <c:v>6698.2456140350887</c:v>
                </c:pt>
                <c:pt idx="51" formatCode="0">
                  <c:v>5951.7857142857138</c:v>
                </c:pt>
                <c:pt idx="52" formatCode="0">
                  <c:v>7471.9298245614045</c:v>
                </c:pt>
                <c:pt idx="53" formatCode="0">
                  <c:v>8378.2608695652161</c:v>
                </c:pt>
                <c:pt idx="54" formatCode="0">
                  <c:v>6670.2127659574471</c:v>
                </c:pt>
                <c:pt idx="55" formatCode="0">
                  <c:v>7445.454545454545</c:v>
                </c:pt>
              </c:numCache>
            </c:numRef>
          </c:xVal>
          <c:yVal>
            <c:numRef>
              <c:f>Sheet1!$L$2:$L$2222</c:f>
              <c:numCache>
                <c:formatCode>General</c:formatCode>
                <c:ptCount val="2221"/>
                <c:pt idx="0">
                  <c:v>2404</c:v>
                </c:pt>
                <c:pt idx="1">
                  <c:v>2801</c:v>
                </c:pt>
                <c:pt idx="2">
                  <c:v>3422</c:v>
                </c:pt>
                <c:pt idx="3">
                  <c:v>3257</c:v>
                </c:pt>
                <c:pt idx="4">
                  <c:v>2234</c:v>
                </c:pt>
                <c:pt idx="5">
                  <c:v>2309</c:v>
                </c:pt>
                <c:pt idx="6">
                  <c:v>3281</c:v>
                </c:pt>
                <c:pt idx="7">
                  <c:v>2830</c:v>
                </c:pt>
                <c:pt idx="8">
                  <c:v>2998</c:v>
                </c:pt>
                <c:pt idx="9">
                  <c:v>2036</c:v>
                </c:pt>
                <c:pt idx="10">
                  <c:v>2430</c:v>
                </c:pt>
                <c:pt idx="11">
                  <c:v>2763</c:v>
                </c:pt>
                <c:pt idx="12">
                  <c:v>2826</c:v>
                </c:pt>
                <c:pt idx="13">
                  <c:v>2685</c:v>
                </c:pt>
                <c:pt idx="14">
                  <c:v>2142</c:v>
                </c:pt>
                <c:pt idx="15">
                  <c:v>2099</c:v>
                </c:pt>
                <c:pt idx="16">
                  <c:v>2511</c:v>
                </c:pt>
                <c:pt idx="17">
                  <c:v>2267</c:v>
                </c:pt>
                <c:pt idx="18">
                  <c:v>1995</c:v>
                </c:pt>
                <c:pt idx="19">
                  <c:v>1999</c:v>
                </c:pt>
                <c:pt idx="20">
                  <c:v>888</c:v>
                </c:pt>
                <c:pt idx="21">
                  <c:v>1101</c:v>
                </c:pt>
                <c:pt idx="22">
                  <c:v>928</c:v>
                </c:pt>
                <c:pt idx="23">
                  <c:v>777</c:v>
                </c:pt>
                <c:pt idx="24">
                  <c:v>1158</c:v>
                </c:pt>
                <c:pt idx="25">
                  <c:v>2034</c:v>
                </c:pt>
                <c:pt idx="26">
                  <c:v>2345</c:v>
                </c:pt>
                <c:pt idx="27">
                  <c:v>2260</c:v>
                </c:pt>
                <c:pt idx="28">
                  <c:v>2623</c:v>
                </c:pt>
                <c:pt idx="29">
                  <c:v>2780</c:v>
                </c:pt>
                <c:pt idx="30">
                  <c:v>2242</c:v>
                </c:pt>
                <c:pt idx="31">
                  <c:v>2964</c:v>
                </c:pt>
                <c:pt idx="32">
                  <c:v>2753</c:v>
                </c:pt>
                <c:pt idx="33">
                  <c:v>2032</c:v>
                </c:pt>
                <c:pt idx="34">
                  <c:v>2751</c:v>
                </c:pt>
                <c:pt idx="35">
                  <c:v>2476</c:v>
                </c:pt>
                <c:pt idx="36">
                  <c:v>2773</c:v>
                </c:pt>
                <c:pt idx="37">
                  <c:v>2294</c:v>
                </c:pt>
                <c:pt idx="38">
                  <c:v>1671</c:v>
                </c:pt>
                <c:pt idx="39">
                  <c:v>2878</c:v>
                </c:pt>
                <c:pt idx="40">
                  <c:v>1530</c:v>
                </c:pt>
                <c:pt idx="41">
                  <c:v>2065</c:v>
                </c:pt>
                <c:pt idx="42">
                  <c:v>2479</c:v>
                </c:pt>
                <c:pt idx="43">
                  <c:v>2345</c:v>
                </c:pt>
                <c:pt idx="44">
                  <c:v>2806</c:v>
                </c:pt>
                <c:pt idx="45">
                  <c:v>1696</c:v>
                </c:pt>
                <c:pt idx="46">
                  <c:v>1893</c:v>
                </c:pt>
                <c:pt idx="47">
                  <c:v>2136</c:v>
                </c:pt>
                <c:pt idx="48">
                  <c:v>1656</c:v>
                </c:pt>
                <c:pt idx="49">
                  <c:v>2372</c:v>
                </c:pt>
                <c:pt idx="50">
                  <c:v>3818</c:v>
                </c:pt>
                <c:pt idx="51">
                  <c:v>3333</c:v>
                </c:pt>
                <c:pt idx="52">
                  <c:v>4259</c:v>
                </c:pt>
                <c:pt idx="53">
                  <c:v>3854</c:v>
                </c:pt>
                <c:pt idx="54">
                  <c:v>3135</c:v>
                </c:pt>
                <c:pt idx="55">
                  <c:v>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D2-4596-9FDE-C3E53E8B3D7D}"/>
            </c:ext>
          </c:extLst>
        </c:ser>
        <c:ser>
          <c:idx val="1"/>
          <c:order val="1"/>
          <c:tx>
            <c:v>HI: 0.5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plot!$V$42:$V$43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plot!$W$42:$W$43</c:f>
              <c:numCache>
                <c:formatCode>General</c:formatCode>
                <c:ptCount val="2"/>
                <c:pt idx="0">
                  <c:v>0</c:v>
                </c:pt>
                <c:pt idx="1">
                  <c:v>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9A-4DA5-801F-8D73869297E2}"/>
            </c:ext>
          </c:extLst>
        </c:ser>
        <c:ser>
          <c:idx val="2"/>
          <c:order val="2"/>
          <c:tx>
            <c:v>HI: 0.3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6A9A-4DA5-801F-8D73869297E2}"/>
              </c:ext>
            </c:extLst>
          </c:dPt>
          <c:xVal>
            <c:numRef>
              <c:f>plot!$V$42:$V$43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plot!$X$42:$X$43</c:f>
              <c:numCache>
                <c:formatCode>General</c:formatCode>
                <c:ptCount val="2"/>
                <c:pt idx="0">
                  <c:v>0</c:v>
                </c:pt>
                <c:pt idx="1">
                  <c:v>3600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9A-4DA5-801F-8D73869297E2}"/>
            </c:ext>
          </c:extLst>
        </c:ser>
        <c:ser>
          <c:idx val="3"/>
          <c:order val="3"/>
          <c:tx>
            <c:v>HI: 0.1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plot!$V$42:$V$43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plot!$Y$42:$Y$43</c:f>
              <c:numCache>
                <c:formatCode>General</c:formatCode>
                <c:ptCount val="2"/>
                <c:pt idx="0">
                  <c:v>0</c:v>
                </c:pt>
                <c:pt idx="1">
                  <c:v>1200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A9A-4DA5-801F-8D73869297E2}"/>
            </c:ext>
          </c:extLst>
        </c:ser>
        <c:ser>
          <c:idx val="4"/>
          <c:order val="4"/>
          <c:tx>
            <c:v>HI: 0.7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A9A-4DA5-801F-8D73869297E2}"/>
              </c:ext>
            </c:extLst>
          </c:dPt>
          <c:xVal>
            <c:numRef>
              <c:f>plot!$V$42:$V$43</c:f>
              <c:numCache>
                <c:formatCode>General</c:formatCode>
                <c:ptCount val="2"/>
                <c:pt idx="0">
                  <c:v>0</c:v>
                </c:pt>
                <c:pt idx="1">
                  <c:v>12000</c:v>
                </c:pt>
              </c:numCache>
            </c:numRef>
          </c:xVal>
          <c:yVal>
            <c:numRef>
              <c:f>plot!$Z$42:$Z$43</c:f>
              <c:numCache>
                <c:formatCode>General</c:formatCode>
                <c:ptCount val="2"/>
                <c:pt idx="0">
                  <c:v>0</c:v>
                </c:pt>
                <c:pt idx="1">
                  <c:v>8400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A9A-4DA5-801F-8D7386929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136735"/>
        <c:axId val="2049135295"/>
      </c:scatterChart>
      <c:valAx>
        <c:axId val="204913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135295"/>
        <c:crosses val="autoZero"/>
        <c:crossBetween val="midCat"/>
      </c:valAx>
      <c:valAx>
        <c:axId val="2049135295"/>
        <c:scaling>
          <c:orientation val="minMax"/>
          <c:max val="6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136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3176221</xdr:colOff>
      <xdr:row>5</xdr:row>
      <xdr:rowOff>71804</xdr:rowOff>
    </xdr:from>
    <xdr:to>
      <xdr:col>20</xdr:col>
      <xdr:colOff>296740</xdr:colOff>
      <xdr:row>19</xdr:row>
      <xdr:rowOff>148004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57FC8A-0E59-8A2D-96AC-AA7810E3A0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418646</xdr:colOff>
      <xdr:row>4</xdr:row>
      <xdr:rowOff>13607</xdr:rowOff>
    </xdr:from>
    <xdr:to>
      <xdr:col>19</xdr:col>
      <xdr:colOff>155121</xdr:colOff>
      <xdr:row>37</xdr:row>
      <xdr:rowOff>32657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96FA64-5967-EB30-5BB9-549815506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108403</xdr:colOff>
      <xdr:row>4</xdr:row>
      <xdr:rowOff>29935</xdr:rowOff>
    </xdr:from>
    <xdr:to>
      <xdr:col>35</xdr:col>
      <xdr:colOff>457200</xdr:colOff>
      <xdr:row>37</xdr:row>
      <xdr:rowOff>48985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08E69F-6206-AB5B-2206-EE2AFDE967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27</xdr:col>
      <xdr:colOff>95250</xdr:colOff>
      <xdr:row>8</xdr:row>
      <xdr:rowOff>81642</xdr:rowOff>
    </xdr:from>
    <xdr:ext cx="870857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1D5E4E-E1F0-AB51-D057-AC31F02A0457}"/>
            </a:ext>
          </a:extLst>
        </xdr:cNvPr>
        <xdr:cNvSpPr txBox="1"/>
      </xdr:nvSpPr>
      <xdr:spPr>
        <a:xfrm>
          <a:off x="16627929" y="1605642"/>
          <a:ext cx="8708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HI: 0.7</a:t>
          </a:r>
        </a:p>
      </xdr:txBody>
    </xdr:sp>
    <xdr:clientData/>
  </xdr:oneCellAnchor>
  <xdr:oneCellAnchor>
    <xdr:from>
      <xdr:col>31</xdr:col>
      <xdr:colOff>383722</xdr:colOff>
      <xdr:row>29</xdr:row>
      <xdr:rowOff>179614</xdr:rowOff>
    </xdr:from>
    <xdr:ext cx="870857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01047A9-7A8E-79FF-447B-025616D43FC0}"/>
            </a:ext>
          </a:extLst>
        </xdr:cNvPr>
        <xdr:cNvSpPr txBox="1"/>
      </xdr:nvSpPr>
      <xdr:spPr>
        <a:xfrm>
          <a:off x="19365686" y="5704114"/>
          <a:ext cx="87085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HI: 0.1</a:t>
          </a:r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lvis F. Elli" id="{A15A3D9F-7B03-44F7-8DBC-2C3D1126DAAC}" userId="S::eelli@uark.edu::64f64820-2f4c-4895-98eb-a853981437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5-03-07T22:34:51.81" personId="{A15A3D9F-7B03-44F7-8DBC-2C3D1126DAAC}" id="{3361EDE9-FD28-47B3-ACA8-EC05CF071E15}">
    <text>Approximate for Columbia, MO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83DCC-8237-408C-AD62-406F8E527AE3}">
  <dimension ref="A1:N73"/>
  <sheetViews>
    <sheetView tabSelected="1" topLeftCell="C46" zoomScale="130" zoomScaleNormal="130" workbookViewId="0">
      <selection activeCell="P22" sqref="P22"/>
    </sheetView>
  </sheetViews>
  <sheetFormatPr defaultRowHeight="15" x14ac:dyDescent="0.25"/>
  <cols>
    <col min="2" max="2" width="88.7109375" bestFit="1" customWidth="1"/>
    <col min="3" max="3" width="10" bestFit="1" customWidth="1"/>
    <col min="8" max="8" width="11.7109375" bestFit="1" customWidth="1"/>
    <col min="9" max="10" width="10.85546875" customWidth="1"/>
    <col min="14" max="14" width="57" customWidth="1"/>
  </cols>
  <sheetData>
    <row r="1" spans="1:14" x14ac:dyDescent="0.25">
      <c r="A1" t="s">
        <v>6</v>
      </c>
      <c r="B1" t="s">
        <v>7</v>
      </c>
      <c r="C1" t="s">
        <v>9</v>
      </c>
      <c r="D1" t="s">
        <v>0</v>
      </c>
      <c r="E1" t="s">
        <v>10</v>
      </c>
      <c r="F1" t="s">
        <v>2</v>
      </c>
      <c r="G1" t="s">
        <v>3</v>
      </c>
      <c r="H1" t="s">
        <v>12</v>
      </c>
      <c r="I1" t="s">
        <v>13</v>
      </c>
      <c r="J1" t="s">
        <v>14</v>
      </c>
      <c r="K1" t="s">
        <v>4</v>
      </c>
      <c r="L1" t="s">
        <v>20</v>
      </c>
      <c r="M1" t="s">
        <v>21</v>
      </c>
      <c r="N1" t="s">
        <v>5</v>
      </c>
    </row>
    <row r="2" spans="1:14" x14ac:dyDescent="0.25">
      <c r="A2">
        <v>1</v>
      </c>
      <c r="B2" t="s">
        <v>8</v>
      </c>
      <c r="C2">
        <v>1979</v>
      </c>
      <c r="D2" t="s">
        <v>1</v>
      </c>
      <c r="E2" t="s">
        <v>11</v>
      </c>
      <c r="F2">
        <v>38.950000000000003</v>
      </c>
      <c r="G2">
        <v>-92.33</v>
      </c>
      <c r="H2" s="3" t="s">
        <v>15</v>
      </c>
      <c r="I2" s="2" t="s">
        <v>19</v>
      </c>
      <c r="J2" s="2">
        <v>1971</v>
      </c>
      <c r="K2" s="2">
        <v>0.37</v>
      </c>
      <c r="L2" s="2">
        <v>2404</v>
      </c>
      <c r="M2" s="2">
        <v>6497</v>
      </c>
      <c r="N2" t="s">
        <v>31</v>
      </c>
    </row>
    <row r="3" spans="1:14" x14ac:dyDescent="0.25">
      <c r="A3">
        <v>1</v>
      </c>
      <c r="B3" t="s">
        <v>8</v>
      </c>
      <c r="C3">
        <v>1979</v>
      </c>
      <c r="D3" t="s">
        <v>1</v>
      </c>
      <c r="E3" t="s">
        <v>11</v>
      </c>
      <c r="F3">
        <v>38.950000000000003</v>
      </c>
      <c r="G3">
        <v>-92.33</v>
      </c>
      <c r="H3" s="3" t="s">
        <v>15</v>
      </c>
      <c r="I3" s="2" t="s">
        <v>22</v>
      </c>
      <c r="J3" s="2">
        <v>1971</v>
      </c>
      <c r="K3" s="2">
        <v>0.39</v>
      </c>
      <c r="L3" s="2">
        <v>2801</v>
      </c>
      <c r="M3" s="2">
        <v>7182</v>
      </c>
      <c r="N3" t="s">
        <v>31</v>
      </c>
    </row>
    <row r="4" spans="1:14" x14ac:dyDescent="0.25">
      <c r="A4">
        <v>1</v>
      </c>
      <c r="B4" t="s">
        <v>8</v>
      </c>
      <c r="C4">
        <v>1979</v>
      </c>
      <c r="D4" t="s">
        <v>1</v>
      </c>
      <c r="E4" t="s">
        <v>11</v>
      </c>
      <c r="F4">
        <v>38.950000000000003</v>
      </c>
      <c r="G4">
        <v>-92.33</v>
      </c>
      <c r="H4" s="3" t="s">
        <v>15</v>
      </c>
      <c r="I4" s="2" t="s">
        <v>23</v>
      </c>
      <c r="J4" s="2">
        <v>1971</v>
      </c>
      <c r="K4" s="2">
        <v>0.34</v>
      </c>
      <c r="L4" s="2">
        <v>3422</v>
      </c>
      <c r="M4" s="2">
        <v>10065</v>
      </c>
      <c r="N4" t="s">
        <v>31</v>
      </c>
    </row>
    <row r="5" spans="1:14" x14ac:dyDescent="0.25">
      <c r="A5">
        <v>1</v>
      </c>
      <c r="B5" t="s">
        <v>8</v>
      </c>
      <c r="C5">
        <v>1979</v>
      </c>
      <c r="D5" t="s">
        <v>1</v>
      </c>
      <c r="E5" t="s">
        <v>11</v>
      </c>
      <c r="F5">
        <v>38.950000000000003</v>
      </c>
      <c r="G5">
        <v>-92.33</v>
      </c>
      <c r="H5" s="3" t="s">
        <v>15</v>
      </c>
      <c r="I5" s="2" t="s">
        <v>24</v>
      </c>
      <c r="J5" s="2">
        <v>1971</v>
      </c>
      <c r="K5" s="2">
        <v>0.35</v>
      </c>
      <c r="L5" s="2">
        <v>3257</v>
      </c>
      <c r="M5" s="2">
        <v>9306</v>
      </c>
      <c r="N5" t="s">
        <v>31</v>
      </c>
    </row>
    <row r="6" spans="1:14" x14ac:dyDescent="0.25">
      <c r="A6">
        <v>1</v>
      </c>
      <c r="B6" t="s">
        <v>8</v>
      </c>
      <c r="C6">
        <v>1979</v>
      </c>
      <c r="D6" t="s">
        <v>1</v>
      </c>
      <c r="E6" t="s">
        <v>11</v>
      </c>
      <c r="F6">
        <v>38.950000000000003</v>
      </c>
      <c r="G6">
        <v>-92.33</v>
      </c>
      <c r="H6" s="3" t="s">
        <v>15</v>
      </c>
      <c r="I6" s="2" t="s">
        <v>25</v>
      </c>
      <c r="J6" s="2">
        <v>1971</v>
      </c>
      <c r="K6" s="2">
        <v>0.25</v>
      </c>
      <c r="L6" s="2">
        <v>2234</v>
      </c>
      <c r="M6" s="2">
        <v>8936</v>
      </c>
      <c r="N6" t="s">
        <v>31</v>
      </c>
    </row>
    <row r="7" spans="1:14" x14ac:dyDescent="0.25">
      <c r="A7">
        <v>1</v>
      </c>
      <c r="B7" t="s">
        <v>8</v>
      </c>
      <c r="C7">
        <v>1979</v>
      </c>
      <c r="D7" t="s">
        <v>1</v>
      </c>
      <c r="E7" t="s">
        <v>11</v>
      </c>
      <c r="F7">
        <v>38.950000000000003</v>
      </c>
      <c r="G7">
        <v>-92.33</v>
      </c>
      <c r="H7" s="3" t="s">
        <v>16</v>
      </c>
      <c r="I7" s="2" t="s">
        <v>19</v>
      </c>
      <c r="J7" s="2">
        <v>1971</v>
      </c>
      <c r="K7" s="2">
        <v>0.34</v>
      </c>
      <c r="L7" s="2">
        <v>2309</v>
      </c>
      <c r="M7" s="2">
        <v>6791</v>
      </c>
      <c r="N7" t="s">
        <v>31</v>
      </c>
    </row>
    <row r="8" spans="1:14" x14ac:dyDescent="0.25">
      <c r="A8">
        <v>1</v>
      </c>
      <c r="B8" t="s">
        <v>8</v>
      </c>
      <c r="C8">
        <v>1979</v>
      </c>
      <c r="D8" t="s">
        <v>1</v>
      </c>
      <c r="E8" t="s">
        <v>11</v>
      </c>
      <c r="F8">
        <v>38.950000000000003</v>
      </c>
      <c r="G8">
        <v>-92.33</v>
      </c>
      <c r="H8" s="3" t="s">
        <v>16</v>
      </c>
      <c r="I8" s="2" t="s">
        <v>22</v>
      </c>
      <c r="J8" s="2">
        <v>1971</v>
      </c>
      <c r="K8" s="2">
        <v>0.38</v>
      </c>
      <c r="L8" s="2">
        <v>3281</v>
      </c>
      <c r="M8" s="2">
        <v>8634</v>
      </c>
      <c r="N8" t="s">
        <v>31</v>
      </c>
    </row>
    <row r="9" spans="1:14" x14ac:dyDescent="0.25">
      <c r="A9">
        <v>1</v>
      </c>
      <c r="B9" t="s">
        <v>8</v>
      </c>
      <c r="C9">
        <v>1979</v>
      </c>
      <c r="D9" t="s">
        <v>1</v>
      </c>
      <c r="E9" t="s">
        <v>11</v>
      </c>
      <c r="F9">
        <v>38.950000000000003</v>
      </c>
      <c r="G9">
        <v>-92.33</v>
      </c>
      <c r="H9" s="3" t="s">
        <v>16</v>
      </c>
      <c r="I9" s="2" t="s">
        <v>23</v>
      </c>
      <c r="J9" s="2">
        <v>1971</v>
      </c>
      <c r="K9" s="2">
        <v>0.33</v>
      </c>
      <c r="L9" s="2">
        <v>2830</v>
      </c>
      <c r="M9" s="2">
        <v>8576</v>
      </c>
      <c r="N9" t="s">
        <v>31</v>
      </c>
    </row>
    <row r="10" spans="1:14" x14ac:dyDescent="0.25">
      <c r="A10">
        <v>1</v>
      </c>
      <c r="B10" t="s">
        <v>8</v>
      </c>
      <c r="C10">
        <v>1979</v>
      </c>
      <c r="D10" t="s">
        <v>1</v>
      </c>
      <c r="E10" t="s">
        <v>11</v>
      </c>
      <c r="F10">
        <v>38.950000000000003</v>
      </c>
      <c r="G10">
        <v>-92.33</v>
      </c>
      <c r="H10" s="3" t="s">
        <v>16</v>
      </c>
      <c r="I10" s="2" t="s">
        <v>24</v>
      </c>
      <c r="J10" s="2">
        <v>1971</v>
      </c>
      <c r="K10" s="2">
        <v>0.33</v>
      </c>
      <c r="L10" s="2">
        <v>2998</v>
      </c>
      <c r="M10" s="2">
        <v>9087</v>
      </c>
      <c r="N10" t="s">
        <v>31</v>
      </c>
    </row>
    <row r="11" spans="1:14" x14ac:dyDescent="0.25">
      <c r="A11">
        <v>1</v>
      </c>
      <c r="B11" t="s">
        <v>8</v>
      </c>
      <c r="C11">
        <v>1979</v>
      </c>
      <c r="D11" t="s">
        <v>1</v>
      </c>
      <c r="E11" t="s">
        <v>11</v>
      </c>
      <c r="F11">
        <v>38.950000000000003</v>
      </c>
      <c r="G11">
        <v>-92.33</v>
      </c>
      <c r="H11" s="3" t="s">
        <v>16</v>
      </c>
      <c r="I11" s="2" t="s">
        <v>25</v>
      </c>
      <c r="J11" s="2">
        <v>1971</v>
      </c>
      <c r="K11" s="2">
        <v>0.26</v>
      </c>
      <c r="L11" s="2">
        <v>2036</v>
      </c>
      <c r="M11" s="2">
        <v>7831</v>
      </c>
      <c r="N11" t="s">
        <v>31</v>
      </c>
    </row>
    <row r="12" spans="1:14" x14ac:dyDescent="0.25">
      <c r="A12">
        <v>1</v>
      </c>
      <c r="B12" t="s">
        <v>8</v>
      </c>
      <c r="C12">
        <v>1979</v>
      </c>
      <c r="D12" t="s">
        <v>1</v>
      </c>
      <c r="E12" t="s">
        <v>11</v>
      </c>
      <c r="F12">
        <v>38.950000000000003</v>
      </c>
      <c r="G12">
        <v>-92.33</v>
      </c>
      <c r="H12" s="3" t="s">
        <v>26</v>
      </c>
      <c r="I12" s="2" t="s">
        <v>19</v>
      </c>
      <c r="J12" s="2">
        <v>1971</v>
      </c>
      <c r="K12" s="2">
        <v>0.37</v>
      </c>
      <c r="L12" s="2">
        <v>2430</v>
      </c>
      <c r="M12" s="2">
        <v>6568</v>
      </c>
      <c r="N12" t="s">
        <v>31</v>
      </c>
    </row>
    <row r="13" spans="1:14" x14ac:dyDescent="0.25">
      <c r="A13">
        <v>1</v>
      </c>
      <c r="B13" t="s">
        <v>8</v>
      </c>
      <c r="C13">
        <v>1979</v>
      </c>
      <c r="D13" t="s">
        <v>1</v>
      </c>
      <c r="E13" t="s">
        <v>11</v>
      </c>
      <c r="F13">
        <v>38.950000000000003</v>
      </c>
      <c r="G13">
        <v>-92.33</v>
      </c>
      <c r="H13" s="3" t="s">
        <v>26</v>
      </c>
      <c r="I13" s="2" t="s">
        <v>22</v>
      </c>
      <c r="J13" s="2">
        <v>1971</v>
      </c>
      <c r="K13" s="2">
        <v>0.37</v>
      </c>
      <c r="L13" s="2">
        <v>2763</v>
      </c>
      <c r="M13" s="2">
        <v>7462</v>
      </c>
      <c r="N13" t="s">
        <v>31</v>
      </c>
    </row>
    <row r="14" spans="1:14" x14ac:dyDescent="0.25">
      <c r="A14">
        <v>1</v>
      </c>
      <c r="B14" t="s">
        <v>8</v>
      </c>
      <c r="C14">
        <v>1979</v>
      </c>
      <c r="D14" t="s">
        <v>1</v>
      </c>
      <c r="E14" t="s">
        <v>11</v>
      </c>
      <c r="F14">
        <v>38.950000000000003</v>
      </c>
      <c r="G14">
        <v>-92.33</v>
      </c>
      <c r="H14" s="3" t="s">
        <v>26</v>
      </c>
      <c r="I14" s="2" t="s">
        <v>23</v>
      </c>
      <c r="J14" s="2">
        <v>1971</v>
      </c>
      <c r="K14" s="2">
        <v>0.34</v>
      </c>
      <c r="L14" s="2">
        <v>2826</v>
      </c>
      <c r="M14" s="2">
        <v>8311</v>
      </c>
      <c r="N14" t="s">
        <v>31</v>
      </c>
    </row>
    <row r="15" spans="1:14" x14ac:dyDescent="0.25">
      <c r="A15">
        <v>1</v>
      </c>
      <c r="B15" t="s">
        <v>8</v>
      </c>
      <c r="C15">
        <v>1979</v>
      </c>
      <c r="D15" t="s">
        <v>1</v>
      </c>
      <c r="E15" t="s">
        <v>11</v>
      </c>
      <c r="F15">
        <v>38.950000000000003</v>
      </c>
      <c r="G15">
        <v>-92.33</v>
      </c>
      <c r="H15" s="3" t="s">
        <v>26</v>
      </c>
      <c r="I15" s="2" t="s">
        <v>24</v>
      </c>
      <c r="J15" s="2">
        <v>1971</v>
      </c>
      <c r="K15" s="2">
        <v>0.33</v>
      </c>
      <c r="L15" s="2">
        <v>2685</v>
      </c>
      <c r="M15" s="2">
        <v>8140</v>
      </c>
      <c r="N15" t="s">
        <v>31</v>
      </c>
    </row>
    <row r="16" spans="1:14" x14ac:dyDescent="0.25">
      <c r="A16">
        <v>1</v>
      </c>
      <c r="B16" t="s">
        <v>8</v>
      </c>
      <c r="C16">
        <v>1979</v>
      </c>
      <c r="D16" t="s">
        <v>1</v>
      </c>
      <c r="E16" t="s">
        <v>11</v>
      </c>
      <c r="F16">
        <v>38.950000000000003</v>
      </c>
      <c r="G16">
        <v>-92.33</v>
      </c>
      <c r="H16" s="3" t="s">
        <v>26</v>
      </c>
      <c r="I16" s="2" t="s">
        <v>25</v>
      </c>
      <c r="J16" s="2">
        <v>1971</v>
      </c>
      <c r="K16" s="2">
        <v>0.24</v>
      </c>
      <c r="L16" s="2">
        <v>2142</v>
      </c>
      <c r="M16" s="2">
        <v>8925</v>
      </c>
      <c r="N16" t="s">
        <v>31</v>
      </c>
    </row>
    <row r="17" spans="1:14" x14ac:dyDescent="0.25">
      <c r="A17">
        <v>1</v>
      </c>
      <c r="B17" t="s">
        <v>8</v>
      </c>
      <c r="C17">
        <v>1979</v>
      </c>
      <c r="D17" t="s">
        <v>1</v>
      </c>
      <c r="E17" t="s">
        <v>11</v>
      </c>
      <c r="F17">
        <v>38.950000000000003</v>
      </c>
      <c r="G17">
        <v>-92.33</v>
      </c>
      <c r="H17" s="3" t="s">
        <v>17</v>
      </c>
      <c r="I17" s="2" t="s">
        <v>19</v>
      </c>
      <c r="J17" s="2">
        <v>1971</v>
      </c>
      <c r="K17" s="2">
        <v>0.37</v>
      </c>
      <c r="L17" s="2">
        <v>2099</v>
      </c>
      <c r="M17" s="2">
        <v>5673</v>
      </c>
      <c r="N17" t="s">
        <v>31</v>
      </c>
    </row>
    <row r="18" spans="1:14" x14ac:dyDescent="0.25">
      <c r="A18">
        <v>1</v>
      </c>
      <c r="B18" t="s">
        <v>8</v>
      </c>
      <c r="C18">
        <v>1979</v>
      </c>
      <c r="D18" t="s">
        <v>1</v>
      </c>
      <c r="E18" t="s">
        <v>11</v>
      </c>
      <c r="F18">
        <v>38.950000000000003</v>
      </c>
      <c r="G18">
        <v>-92.33</v>
      </c>
      <c r="H18" s="3" t="s">
        <v>17</v>
      </c>
      <c r="I18" s="2" t="s">
        <v>22</v>
      </c>
      <c r="J18" s="2">
        <v>1971</v>
      </c>
      <c r="K18" s="2">
        <v>0.41</v>
      </c>
      <c r="L18" s="2">
        <v>2511</v>
      </c>
      <c r="M18" s="2">
        <v>6124</v>
      </c>
      <c r="N18" t="s">
        <v>31</v>
      </c>
    </row>
    <row r="19" spans="1:14" x14ac:dyDescent="0.25">
      <c r="A19">
        <v>1</v>
      </c>
      <c r="B19" t="s">
        <v>8</v>
      </c>
      <c r="C19">
        <v>1979</v>
      </c>
      <c r="D19" t="s">
        <v>1</v>
      </c>
      <c r="E19" t="s">
        <v>11</v>
      </c>
      <c r="F19">
        <v>38.950000000000003</v>
      </c>
      <c r="G19">
        <v>-92.33</v>
      </c>
      <c r="H19" s="3" t="s">
        <v>17</v>
      </c>
      <c r="I19" s="2" t="s">
        <v>23</v>
      </c>
      <c r="J19" s="2">
        <v>1971</v>
      </c>
      <c r="K19" s="2">
        <v>0.35</v>
      </c>
      <c r="L19" s="2">
        <v>2267</v>
      </c>
      <c r="M19" s="2">
        <v>6485</v>
      </c>
      <c r="N19" t="s">
        <v>31</v>
      </c>
    </row>
    <row r="20" spans="1:14" x14ac:dyDescent="0.25">
      <c r="A20">
        <v>1</v>
      </c>
      <c r="B20" t="s">
        <v>8</v>
      </c>
      <c r="C20">
        <v>1979</v>
      </c>
      <c r="D20" t="s">
        <v>1</v>
      </c>
      <c r="E20" t="s">
        <v>11</v>
      </c>
      <c r="F20">
        <v>38.950000000000003</v>
      </c>
      <c r="G20">
        <v>-92.33</v>
      </c>
      <c r="H20" s="3" t="s">
        <v>17</v>
      </c>
      <c r="I20" s="2" t="s">
        <v>24</v>
      </c>
      <c r="J20" s="2">
        <v>1971</v>
      </c>
      <c r="K20" s="2">
        <v>0.34</v>
      </c>
      <c r="L20" s="2">
        <v>1995</v>
      </c>
      <c r="M20" s="2">
        <v>5868</v>
      </c>
      <c r="N20" t="s">
        <v>31</v>
      </c>
    </row>
    <row r="21" spans="1:14" x14ac:dyDescent="0.25">
      <c r="A21">
        <v>1</v>
      </c>
      <c r="B21" t="s">
        <v>8</v>
      </c>
      <c r="C21">
        <v>1979</v>
      </c>
      <c r="D21" t="s">
        <v>1</v>
      </c>
      <c r="E21" t="s">
        <v>11</v>
      </c>
      <c r="F21">
        <v>38.950000000000003</v>
      </c>
      <c r="G21">
        <v>-92.33</v>
      </c>
      <c r="H21" s="3" t="s">
        <v>17</v>
      </c>
      <c r="I21" s="2" t="s">
        <v>25</v>
      </c>
      <c r="J21" s="2">
        <v>1971</v>
      </c>
      <c r="K21" s="2">
        <v>0.27</v>
      </c>
      <c r="L21" s="2">
        <v>1999</v>
      </c>
      <c r="M21" s="2">
        <v>7404</v>
      </c>
      <c r="N21" t="s">
        <v>31</v>
      </c>
    </row>
    <row r="22" spans="1:14" x14ac:dyDescent="0.25">
      <c r="A22">
        <v>1</v>
      </c>
      <c r="B22" t="s">
        <v>8</v>
      </c>
      <c r="C22">
        <v>1979</v>
      </c>
      <c r="D22" t="s">
        <v>1</v>
      </c>
      <c r="E22" t="s">
        <v>11</v>
      </c>
      <c r="F22">
        <v>38.950000000000003</v>
      </c>
      <c r="G22">
        <v>-92.33</v>
      </c>
      <c r="H22" s="3" t="s">
        <v>18</v>
      </c>
      <c r="I22" s="2" t="s">
        <v>19</v>
      </c>
      <c r="J22" s="2">
        <v>1971</v>
      </c>
      <c r="K22" s="2">
        <v>0.31</v>
      </c>
      <c r="L22" s="2">
        <v>888</v>
      </c>
      <c r="M22" s="2">
        <v>2865</v>
      </c>
      <c r="N22" t="s">
        <v>31</v>
      </c>
    </row>
    <row r="23" spans="1:14" x14ac:dyDescent="0.25">
      <c r="A23">
        <v>1</v>
      </c>
      <c r="B23" t="s">
        <v>8</v>
      </c>
      <c r="C23">
        <v>1979</v>
      </c>
      <c r="D23" t="s">
        <v>1</v>
      </c>
      <c r="E23" t="s">
        <v>11</v>
      </c>
      <c r="F23">
        <v>38.950000000000003</v>
      </c>
      <c r="G23">
        <v>-92.33</v>
      </c>
      <c r="H23" s="3" t="s">
        <v>18</v>
      </c>
      <c r="I23" s="2" t="s">
        <v>22</v>
      </c>
      <c r="J23" s="2">
        <v>1971</v>
      </c>
      <c r="K23" s="2">
        <v>0.35</v>
      </c>
      <c r="L23" s="2">
        <v>1101</v>
      </c>
      <c r="M23" s="2">
        <v>3146</v>
      </c>
      <c r="N23" t="s">
        <v>31</v>
      </c>
    </row>
    <row r="24" spans="1:14" x14ac:dyDescent="0.25">
      <c r="A24">
        <v>1</v>
      </c>
      <c r="B24" t="s">
        <v>8</v>
      </c>
      <c r="C24">
        <v>1979</v>
      </c>
      <c r="D24" t="s">
        <v>1</v>
      </c>
      <c r="E24" t="s">
        <v>11</v>
      </c>
      <c r="F24">
        <v>38.950000000000003</v>
      </c>
      <c r="G24">
        <v>-92.33</v>
      </c>
      <c r="H24" s="3" t="s">
        <v>18</v>
      </c>
      <c r="I24" s="2" t="s">
        <v>23</v>
      </c>
      <c r="J24" s="2">
        <v>1971</v>
      </c>
      <c r="K24" s="2">
        <v>0.27</v>
      </c>
      <c r="L24" s="2">
        <v>928</v>
      </c>
      <c r="M24" s="2">
        <v>3437</v>
      </c>
      <c r="N24" t="s">
        <v>31</v>
      </c>
    </row>
    <row r="25" spans="1:14" x14ac:dyDescent="0.25">
      <c r="A25">
        <v>1</v>
      </c>
      <c r="B25" t="s">
        <v>8</v>
      </c>
      <c r="C25">
        <v>1979</v>
      </c>
      <c r="D25" t="s">
        <v>1</v>
      </c>
      <c r="E25" t="s">
        <v>11</v>
      </c>
      <c r="F25">
        <v>38.950000000000003</v>
      </c>
      <c r="G25">
        <v>-92.33</v>
      </c>
      <c r="H25" s="3" t="s">
        <v>18</v>
      </c>
      <c r="I25" s="2" t="s">
        <v>24</v>
      </c>
      <c r="J25" s="2">
        <v>1971</v>
      </c>
      <c r="K25" s="2">
        <v>0.28999999999999998</v>
      </c>
      <c r="L25" s="2">
        <v>777</v>
      </c>
      <c r="M25" s="2">
        <v>2679</v>
      </c>
      <c r="N25" t="s">
        <v>31</v>
      </c>
    </row>
    <row r="26" spans="1:14" x14ac:dyDescent="0.25">
      <c r="A26">
        <v>1</v>
      </c>
      <c r="B26" t="s">
        <v>8</v>
      </c>
      <c r="C26">
        <v>1979</v>
      </c>
      <c r="D26" t="s">
        <v>1</v>
      </c>
      <c r="E26" t="s">
        <v>11</v>
      </c>
      <c r="F26">
        <v>38.950000000000003</v>
      </c>
      <c r="G26">
        <v>-92.33</v>
      </c>
      <c r="H26" s="3" t="s">
        <v>18</v>
      </c>
      <c r="I26" s="2" t="s">
        <v>25</v>
      </c>
      <c r="J26" s="2">
        <v>1971</v>
      </c>
      <c r="K26" s="2">
        <v>0.27</v>
      </c>
      <c r="L26" s="2">
        <v>1158</v>
      </c>
      <c r="M26" s="2">
        <v>4289</v>
      </c>
      <c r="N26" t="s">
        <v>31</v>
      </c>
    </row>
    <row r="27" spans="1:14" x14ac:dyDescent="0.25">
      <c r="A27">
        <v>1</v>
      </c>
      <c r="B27" t="s">
        <v>8</v>
      </c>
      <c r="C27">
        <v>1979</v>
      </c>
      <c r="D27" t="s">
        <v>1</v>
      </c>
      <c r="E27" t="s">
        <v>11</v>
      </c>
      <c r="F27">
        <v>38.950000000000003</v>
      </c>
      <c r="G27">
        <v>-92.33</v>
      </c>
      <c r="H27" s="3" t="s">
        <v>27</v>
      </c>
      <c r="I27" s="2" t="s">
        <v>19</v>
      </c>
      <c r="J27" s="2">
        <v>1973</v>
      </c>
      <c r="K27" s="2">
        <v>0.39</v>
      </c>
      <c r="L27" s="2">
        <v>2034</v>
      </c>
      <c r="M27" s="2">
        <v>5215</v>
      </c>
      <c r="N27" t="s">
        <v>31</v>
      </c>
    </row>
    <row r="28" spans="1:14" x14ac:dyDescent="0.25">
      <c r="A28">
        <v>1</v>
      </c>
      <c r="B28" t="s">
        <v>8</v>
      </c>
      <c r="C28">
        <v>1979</v>
      </c>
      <c r="D28" t="s">
        <v>1</v>
      </c>
      <c r="E28" t="s">
        <v>11</v>
      </c>
      <c r="F28">
        <v>38.950000000000003</v>
      </c>
      <c r="G28">
        <v>-92.33</v>
      </c>
      <c r="H28" s="3" t="s">
        <v>27</v>
      </c>
      <c r="I28" s="2" t="s">
        <v>22</v>
      </c>
      <c r="J28" s="2">
        <v>1973</v>
      </c>
      <c r="K28" s="2">
        <v>0.41</v>
      </c>
      <c r="L28" s="2">
        <v>2345</v>
      </c>
      <c r="M28" s="2">
        <v>5719</v>
      </c>
      <c r="N28" t="s">
        <v>31</v>
      </c>
    </row>
    <row r="29" spans="1:14" x14ac:dyDescent="0.25">
      <c r="A29">
        <v>1</v>
      </c>
      <c r="B29" t="s">
        <v>8</v>
      </c>
      <c r="C29">
        <v>1979</v>
      </c>
      <c r="D29" t="s">
        <v>1</v>
      </c>
      <c r="E29" t="s">
        <v>11</v>
      </c>
      <c r="F29">
        <v>38.950000000000003</v>
      </c>
      <c r="G29">
        <v>-92.33</v>
      </c>
      <c r="H29" s="3" t="s">
        <v>27</v>
      </c>
      <c r="I29" s="2" t="s">
        <v>23</v>
      </c>
      <c r="J29" s="2">
        <v>1973</v>
      </c>
      <c r="K29" s="2">
        <v>0.34</v>
      </c>
      <c r="L29" s="2">
        <v>2260</v>
      </c>
      <c r="M29" s="2">
        <v>6647</v>
      </c>
      <c r="N29" t="s">
        <v>31</v>
      </c>
    </row>
    <row r="30" spans="1:14" x14ac:dyDescent="0.25">
      <c r="A30">
        <v>1</v>
      </c>
      <c r="B30" t="s">
        <v>8</v>
      </c>
      <c r="C30">
        <v>1979</v>
      </c>
      <c r="D30" t="s">
        <v>1</v>
      </c>
      <c r="E30" t="s">
        <v>11</v>
      </c>
      <c r="F30">
        <v>38.950000000000003</v>
      </c>
      <c r="G30">
        <v>-92.33</v>
      </c>
      <c r="H30" s="3" t="s">
        <v>27</v>
      </c>
      <c r="I30" s="2" t="s">
        <v>24</v>
      </c>
      <c r="J30" s="2">
        <v>1973</v>
      </c>
      <c r="K30" s="2">
        <v>0.33</v>
      </c>
      <c r="L30" s="2">
        <v>2623</v>
      </c>
      <c r="M30" s="2">
        <v>7942</v>
      </c>
      <c r="N30" t="s">
        <v>31</v>
      </c>
    </row>
    <row r="31" spans="1:14" x14ac:dyDescent="0.25">
      <c r="A31">
        <v>1</v>
      </c>
      <c r="B31" t="s">
        <v>8</v>
      </c>
      <c r="C31">
        <v>1979</v>
      </c>
      <c r="D31" t="s">
        <v>1</v>
      </c>
      <c r="E31" t="s">
        <v>11</v>
      </c>
      <c r="F31">
        <v>38.950000000000003</v>
      </c>
      <c r="G31">
        <v>-92.33</v>
      </c>
      <c r="H31" s="3" t="s">
        <v>27</v>
      </c>
      <c r="I31" s="2" t="s">
        <v>25</v>
      </c>
      <c r="J31" s="2">
        <v>1973</v>
      </c>
      <c r="K31" s="2">
        <v>0.35</v>
      </c>
      <c r="L31" s="2">
        <v>2780</v>
      </c>
      <c r="M31" s="2">
        <v>7943</v>
      </c>
      <c r="N31" t="s">
        <v>31</v>
      </c>
    </row>
    <row r="32" spans="1:14" x14ac:dyDescent="0.25">
      <c r="A32">
        <v>1</v>
      </c>
      <c r="B32" t="s">
        <v>8</v>
      </c>
      <c r="C32">
        <v>1979</v>
      </c>
      <c r="D32" t="s">
        <v>1</v>
      </c>
      <c r="E32" t="s">
        <v>11</v>
      </c>
      <c r="F32">
        <v>38.950000000000003</v>
      </c>
      <c r="G32">
        <v>-92.33</v>
      </c>
      <c r="H32" s="3" t="s">
        <v>28</v>
      </c>
      <c r="I32" s="2" t="s">
        <v>19</v>
      </c>
      <c r="J32" s="2">
        <v>1973</v>
      </c>
      <c r="K32" s="2">
        <v>0.36</v>
      </c>
      <c r="L32" s="2">
        <v>2242</v>
      </c>
      <c r="M32" s="2">
        <v>6228</v>
      </c>
      <c r="N32" t="s">
        <v>31</v>
      </c>
    </row>
    <row r="33" spans="1:14" x14ac:dyDescent="0.25">
      <c r="A33">
        <v>1</v>
      </c>
      <c r="B33" t="s">
        <v>8</v>
      </c>
      <c r="C33">
        <v>1979</v>
      </c>
      <c r="D33" t="s">
        <v>1</v>
      </c>
      <c r="E33" t="s">
        <v>11</v>
      </c>
      <c r="F33">
        <v>38.950000000000003</v>
      </c>
      <c r="G33">
        <v>-92.33</v>
      </c>
      <c r="H33" s="3" t="s">
        <v>28</v>
      </c>
      <c r="I33" s="2" t="s">
        <v>22</v>
      </c>
      <c r="J33" s="2">
        <v>1973</v>
      </c>
      <c r="K33" s="2">
        <v>0.4</v>
      </c>
      <c r="L33" s="2">
        <v>2964</v>
      </c>
      <c r="M33" s="2">
        <v>7410</v>
      </c>
      <c r="N33" t="s">
        <v>31</v>
      </c>
    </row>
    <row r="34" spans="1:14" x14ac:dyDescent="0.25">
      <c r="A34">
        <v>1</v>
      </c>
      <c r="B34" t="s">
        <v>8</v>
      </c>
      <c r="C34">
        <v>1979</v>
      </c>
      <c r="D34" t="s">
        <v>1</v>
      </c>
      <c r="E34" t="s">
        <v>11</v>
      </c>
      <c r="F34">
        <v>38.950000000000003</v>
      </c>
      <c r="G34">
        <v>-92.33</v>
      </c>
      <c r="H34" s="3" t="s">
        <v>28</v>
      </c>
      <c r="I34" s="2" t="s">
        <v>23</v>
      </c>
      <c r="J34" s="2">
        <v>1973</v>
      </c>
      <c r="K34" s="2">
        <v>0.33</v>
      </c>
      <c r="L34" s="2">
        <v>2753</v>
      </c>
      <c r="M34" s="2">
        <v>8336</v>
      </c>
      <c r="N34" t="s">
        <v>31</v>
      </c>
    </row>
    <row r="35" spans="1:14" x14ac:dyDescent="0.25">
      <c r="A35">
        <v>1</v>
      </c>
      <c r="B35" t="s">
        <v>8</v>
      </c>
      <c r="C35">
        <v>1979</v>
      </c>
      <c r="D35" t="s">
        <v>1</v>
      </c>
      <c r="E35" t="s">
        <v>11</v>
      </c>
      <c r="F35">
        <v>38.950000000000003</v>
      </c>
      <c r="G35">
        <v>-92.33</v>
      </c>
      <c r="H35" s="3" t="s">
        <v>28</v>
      </c>
      <c r="I35" s="2" t="s">
        <v>24</v>
      </c>
      <c r="J35" s="2">
        <v>1973</v>
      </c>
      <c r="K35" s="2">
        <v>0.25</v>
      </c>
      <c r="L35" s="2">
        <v>2032</v>
      </c>
      <c r="M35" s="2">
        <v>8128</v>
      </c>
      <c r="N35" t="s">
        <v>31</v>
      </c>
    </row>
    <row r="36" spans="1:14" x14ac:dyDescent="0.25">
      <c r="A36">
        <v>1</v>
      </c>
      <c r="B36" t="s">
        <v>8</v>
      </c>
      <c r="C36">
        <v>1979</v>
      </c>
      <c r="D36" t="s">
        <v>1</v>
      </c>
      <c r="E36" t="s">
        <v>11</v>
      </c>
      <c r="F36">
        <v>38.950000000000003</v>
      </c>
      <c r="G36">
        <v>-92.33</v>
      </c>
      <c r="H36" s="3" t="s">
        <v>28</v>
      </c>
      <c r="I36" s="2" t="s">
        <v>25</v>
      </c>
      <c r="J36" s="2">
        <v>1973</v>
      </c>
      <c r="K36" s="2">
        <v>0.31</v>
      </c>
      <c r="L36" s="2">
        <v>2751</v>
      </c>
      <c r="M36" s="2">
        <v>8874</v>
      </c>
      <c r="N36" t="s">
        <v>31</v>
      </c>
    </row>
    <row r="37" spans="1:14" x14ac:dyDescent="0.25">
      <c r="A37">
        <v>1</v>
      </c>
      <c r="B37" t="s">
        <v>8</v>
      </c>
      <c r="C37">
        <v>1979</v>
      </c>
      <c r="D37" t="s">
        <v>1</v>
      </c>
      <c r="E37" t="s">
        <v>11</v>
      </c>
      <c r="F37">
        <v>38.950000000000003</v>
      </c>
      <c r="G37">
        <v>-92.33</v>
      </c>
      <c r="H37" s="3" t="s">
        <v>29</v>
      </c>
      <c r="I37" s="2" t="s">
        <v>19</v>
      </c>
      <c r="J37" s="2">
        <v>1973</v>
      </c>
      <c r="K37" s="2">
        <v>0.37</v>
      </c>
      <c r="L37" s="2">
        <v>2476</v>
      </c>
      <c r="M37" s="2">
        <v>6692</v>
      </c>
      <c r="N37" t="s">
        <v>31</v>
      </c>
    </row>
    <row r="38" spans="1:14" x14ac:dyDescent="0.25">
      <c r="A38">
        <v>1</v>
      </c>
      <c r="B38" t="s">
        <v>8</v>
      </c>
      <c r="C38">
        <v>1979</v>
      </c>
      <c r="D38" t="s">
        <v>1</v>
      </c>
      <c r="E38" t="s">
        <v>11</v>
      </c>
      <c r="F38">
        <v>38.950000000000003</v>
      </c>
      <c r="G38">
        <v>-92.33</v>
      </c>
      <c r="H38" s="3" t="s">
        <v>29</v>
      </c>
      <c r="I38" s="2" t="s">
        <v>22</v>
      </c>
      <c r="J38" s="2">
        <v>1973</v>
      </c>
      <c r="K38" s="2">
        <v>0.36</v>
      </c>
      <c r="L38" s="2">
        <v>2773</v>
      </c>
      <c r="M38" s="2">
        <v>7703</v>
      </c>
      <c r="N38" t="s">
        <v>31</v>
      </c>
    </row>
    <row r="39" spans="1:14" x14ac:dyDescent="0.25">
      <c r="A39">
        <v>1</v>
      </c>
      <c r="B39" t="s">
        <v>8</v>
      </c>
      <c r="C39">
        <v>1979</v>
      </c>
      <c r="D39" t="s">
        <v>1</v>
      </c>
      <c r="E39" t="s">
        <v>11</v>
      </c>
      <c r="F39">
        <v>38.950000000000003</v>
      </c>
      <c r="G39">
        <v>-92.33</v>
      </c>
      <c r="H39" s="3" t="s">
        <v>29</v>
      </c>
      <c r="I39" s="2" t="s">
        <v>23</v>
      </c>
      <c r="J39" s="2">
        <v>1973</v>
      </c>
      <c r="K39" s="2">
        <v>0.27</v>
      </c>
      <c r="L39" s="2">
        <v>2294</v>
      </c>
      <c r="M39" s="2">
        <v>8496</v>
      </c>
      <c r="N39" t="s">
        <v>31</v>
      </c>
    </row>
    <row r="40" spans="1:14" x14ac:dyDescent="0.25">
      <c r="A40">
        <v>1</v>
      </c>
      <c r="B40" t="s">
        <v>8</v>
      </c>
      <c r="C40">
        <v>1979</v>
      </c>
      <c r="D40" t="s">
        <v>1</v>
      </c>
      <c r="E40" t="s">
        <v>11</v>
      </c>
      <c r="F40">
        <v>38.950000000000003</v>
      </c>
      <c r="G40">
        <v>-92.33</v>
      </c>
      <c r="H40" s="3" t="s">
        <v>29</v>
      </c>
      <c r="I40" s="2" t="s">
        <v>24</v>
      </c>
      <c r="J40" s="2">
        <v>1973</v>
      </c>
      <c r="K40" s="2">
        <v>0.25</v>
      </c>
      <c r="L40" s="2">
        <v>1671</v>
      </c>
      <c r="M40" s="2">
        <v>6684</v>
      </c>
      <c r="N40" t="s">
        <v>31</v>
      </c>
    </row>
    <row r="41" spans="1:14" x14ac:dyDescent="0.25">
      <c r="A41">
        <v>1</v>
      </c>
      <c r="B41" t="s">
        <v>8</v>
      </c>
      <c r="C41">
        <v>1979</v>
      </c>
      <c r="D41" t="s">
        <v>1</v>
      </c>
      <c r="E41" t="s">
        <v>11</v>
      </c>
      <c r="F41">
        <v>38.950000000000003</v>
      </c>
      <c r="G41">
        <v>-92.33</v>
      </c>
      <c r="H41" s="3" t="s">
        <v>29</v>
      </c>
      <c r="I41" s="2" t="s">
        <v>25</v>
      </c>
      <c r="J41" s="2">
        <v>1973</v>
      </c>
      <c r="K41" s="2">
        <v>0.33</v>
      </c>
      <c r="L41" s="2">
        <v>2878</v>
      </c>
      <c r="M41" s="2">
        <v>8721</v>
      </c>
      <c r="N41" t="s">
        <v>31</v>
      </c>
    </row>
    <row r="42" spans="1:14" x14ac:dyDescent="0.25">
      <c r="A42">
        <v>1</v>
      </c>
      <c r="B42" t="s">
        <v>8</v>
      </c>
      <c r="C42">
        <v>1979</v>
      </c>
      <c r="D42" t="s">
        <v>1</v>
      </c>
      <c r="E42" t="s">
        <v>11</v>
      </c>
      <c r="F42">
        <v>38.950000000000003</v>
      </c>
      <c r="G42">
        <v>-92.33</v>
      </c>
      <c r="H42" s="3" t="s">
        <v>17</v>
      </c>
      <c r="I42" s="2" t="s">
        <v>19</v>
      </c>
      <c r="J42" s="2">
        <v>1973</v>
      </c>
      <c r="K42" s="2">
        <v>0.28999999999999998</v>
      </c>
      <c r="L42" s="2">
        <v>1530</v>
      </c>
      <c r="M42" s="2">
        <v>5276</v>
      </c>
      <c r="N42" t="s">
        <v>31</v>
      </c>
    </row>
    <row r="43" spans="1:14" x14ac:dyDescent="0.25">
      <c r="A43">
        <v>1</v>
      </c>
      <c r="B43" t="s">
        <v>8</v>
      </c>
      <c r="C43">
        <v>1979</v>
      </c>
      <c r="D43" t="s">
        <v>1</v>
      </c>
      <c r="E43" t="s">
        <v>11</v>
      </c>
      <c r="F43">
        <v>38.950000000000003</v>
      </c>
      <c r="G43">
        <v>-92.33</v>
      </c>
      <c r="H43" s="3" t="s">
        <v>17</v>
      </c>
      <c r="I43" s="2" t="s">
        <v>22</v>
      </c>
      <c r="J43" s="2">
        <v>1973</v>
      </c>
      <c r="K43" s="2">
        <v>0.35</v>
      </c>
      <c r="L43" s="2">
        <v>2065</v>
      </c>
      <c r="M43" s="2">
        <v>5900</v>
      </c>
      <c r="N43" t="s">
        <v>31</v>
      </c>
    </row>
    <row r="44" spans="1:14" x14ac:dyDescent="0.25">
      <c r="A44">
        <v>1</v>
      </c>
      <c r="B44" t="s">
        <v>8</v>
      </c>
      <c r="C44">
        <v>1979</v>
      </c>
      <c r="D44" t="s">
        <v>1</v>
      </c>
      <c r="E44" t="s">
        <v>11</v>
      </c>
      <c r="F44">
        <v>38.950000000000003</v>
      </c>
      <c r="G44">
        <v>-92.33</v>
      </c>
      <c r="H44" s="3" t="s">
        <v>17</v>
      </c>
      <c r="I44" s="2" t="s">
        <v>23</v>
      </c>
      <c r="J44" s="2">
        <v>1973</v>
      </c>
      <c r="K44" s="2">
        <v>0.35</v>
      </c>
      <c r="L44" s="2">
        <v>2479</v>
      </c>
      <c r="M44" s="2">
        <v>7083</v>
      </c>
      <c r="N44" t="s">
        <v>31</v>
      </c>
    </row>
    <row r="45" spans="1:14" x14ac:dyDescent="0.25">
      <c r="A45">
        <v>1</v>
      </c>
      <c r="B45" t="s">
        <v>8</v>
      </c>
      <c r="C45">
        <v>1979</v>
      </c>
      <c r="D45" t="s">
        <v>1</v>
      </c>
      <c r="E45" t="s">
        <v>11</v>
      </c>
      <c r="F45">
        <v>38.950000000000003</v>
      </c>
      <c r="G45">
        <v>-92.33</v>
      </c>
      <c r="H45" s="3" t="s">
        <v>17</v>
      </c>
      <c r="I45" s="2" t="s">
        <v>24</v>
      </c>
      <c r="J45" s="2">
        <v>1973</v>
      </c>
      <c r="K45" s="2">
        <v>0.34</v>
      </c>
      <c r="L45" s="2">
        <v>2345</v>
      </c>
      <c r="M45" s="2">
        <v>6900</v>
      </c>
      <c r="N45" t="s">
        <v>31</v>
      </c>
    </row>
    <row r="46" spans="1:14" x14ac:dyDescent="0.25">
      <c r="A46">
        <v>1</v>
      </c>
      <c r="B46" t="s">
        <v>8</v>
      </c>
      <c r="C46">
        <v>1979</v>
      </c>
      <c r="D46" t="s">
        <v>1</v>
      </c>
      <c r="E46" t="s">
        <v>11</v>
      </c>
      <c r="F46">
        <v>38.950000000000003</v>
      </c>
      <c r="G46">
        <v>-92.33</v>
      </c>
      <c r="H46" s="3" t="s">
        <v>17</v>
      </c>
      <c r="I46" s="2" t="s">
        <v>25</v>
      </c>
      <c r="J46" s="2">
        <v>1973</v>
      </c>
      <c r="K46" s="2">
        <v>0.36</v>
      </c>
      <c r="L46" s="2">
        <v>2806</v>
      </c>
      <c r="M46" s="2">
        <v>7794</v>
      </c>
      <c r="N46" t="s">
        <v>31</v>
      </c>
    </row>
    <row r="47" spans="1:14" x14ac:dyDescent="0.25">
      <c r="A47">
        <v>1</v>
      </c>
      <c r="B47" t="s">
        <v>8</v>
      </c>
      <c r="C47">
        <v>1979</v>
      </c>
      <c r="D47" t="s">
        <v>1</v>
      </c>
      <c r="E47" t="s">
        <v>11</v>
      </c>
      <c r="F47">
        <v>38.950000000000003</v>
      </c>
      <c r="G47">
        <v>-92.33</v>
      </c>
      <c r="H47" s="3" t="s">
        <v>30</v>
      </c>
      <c r="I47" s="2" t="s">
        <v>19</v>
      </c>
      <c r="J47" s="2">
        <v>1973</v>
      </c>
      <c r="K47" s="2">
        <v>0.38</v>
      </c>
      <c r="L47" s="2">
        <v>1696</v>
      </c>
      <c r="M47" s="2">
        <v>4463</v>
      </c>
      <c r="N47" t="s">
        <v>31</v>
      </c>
    </row>
    <row r="48" spans="1:14" x14ac:dyDescent="0.25">
      <c r="A48">
        <v>1</v>
      </c>
      <c r="B48" t="s">
        <v>8</v>
      </c>
      <c r="C48">
        <v>1979</v>
      </c>
      <c r="D48" t="s">
        <v>1</v>
      </c>
      <c r="E48" t="s">
        <v>11</v>
      </c>
      <c r="F48">
        <v>38.950000000000003</v>
      </c>
      <c r="G48">
        <v>-92.33</v>
      </c>
      <c r="H48" s="3" t="s">
        <v>30</v>
      </c>
      <c r="I48" s="2" t="s">
        <v>22</v>
      </c>
      <c r="J48" s="2">
        <v>1973</v>
      </c>
      <c r="K48" s="2">
        <v>0.4</v>
      </c>
      <c r="L48" s="2">
        <v>1893</v>
      </c>
      <c r="M48" s="2">
        <v>4733</v>
      </c>
      <c r="N48" t="s">
        <v>31</v>
      </c>
    </row>
    <row r="49" spans="1:14" x14ac:dyDescent="0.25">
      <c r="A49">
        <v>1</v>
      </c>
      <c r="B49" t="s">
        <v>8</v>
      </c>
      <c r="C49">
        <v>1979</v>
      </c>
      <c r="D49" t="s">
        <v>1</v>
      </c>
      <c r="E49" t="s">
        <v>11</v>
      </c>
      <c r="F49">
        <v>38.950000000000003</v>
      </c>
      <c r="G49">
        <v>-92.33</v>
      </c>
      <c r="H49" s="3" t="s">
        <v>30</v>
      </c>
      <c r="I49" s="2" t="s">
        <v>23</v>
      </c>
      <c r="J49" s="2">
        <v>1973</v>
      </c>
      <c r="K49" s="2">
        <v>0.35</v>
      </c>
      <c r="L49" s="2">
        <v>2136</v>
      </c>
      <c r="M49" s="2">
        <v>6103</v>
      </c>
      <c r="N49" t="s">
        <v>31</v>
      </c>
    </row>
    <row r="50" spans="1:14" x14ac:dyDescent="0.25">
      <c r="A50">
        <v>1</v>
      </c>
      <c r="B50" t="s">
        <v>8</v>
      </c>
      <c r="C50">
        <v>1979</v>
      </c>
      <c r="D50" t="s">
        <v>1</v>
      </c>
      <c r="E50" t="s">
        <v>11</v>
      </c>
      <c r="F50">
        <v>38.950000000000003</v>
      </c>
      <c r="G50">
        <v>-92.33</v>
      </c>
      <c r="H50" s="3" t="s">
        <v>30</v>
      </c>
      <c r="I50" s="2" t="s">
        <v>24</v>
      </c>
      <c r="J50" s="2">
        <v>1973</v>
      </c>
      <c r="K50" s="2">
        <v>0.3</v>
      </c>
      <c r="L50" s="2">
        <v>1656</v>
      </c>
      <c r="M50" s="2">
        <v>5520</v>
      </c>
      <c r="N50" t="s">
        <v>31</v>
      </c>
    </row>
    <row r="51" spans="1:14" x14ac:dyDescent="0.25">
      <c r="A51">
        <v>1</v>
      </c>
      <c r="B51" t="s">
        <v>8</v>
      </c>
      <c r="C51">
        <v>1979</v>
      </c>
      <c r="D51" t="s">
        <v>1</v>
      </c>
      <c r="E51" t="s">
        <v>11</v>
      </c>
      <c r="F51">
        <v>38.950000000000003</v>
      </c>
      <c r="G51">
        <v>-92.33</v>
      </c>
      <c r="H51" s="3" t="s">
        <v>30</v>
      </c>
      <c r="I51" s="2" t="s">
        <v>25</v>
      </c>
      <c r="J51" s="2">
        <v>1973</v>
      </c>
      <c r="K51" s="2">
        <v>0.36</v>
      </c>
      <c r="L51" s="2">
        <v>2372</v>
      </c>
      <c r="M51" s="2">
        <v>6589</v>
      </c>
      <c r="N51" t="s">
        <v>31</v>
      </c>
    </row>
    <row r="52" spans="1:14" x14ac:dyDescent="0.25">
      <c r="A52">
        <v>2</v>
      </c>
      <c r="B52" t="s">
        <v>32</v>
      </c>
      <c r="C52">
        <v>2025</v>
      </c>
      <c r="D52" t="s">
        <v>33</v>
      </c>
      <c r="E52" t="s">
        <v>34</v>
      </c>
      <c r="F52">
        <v>36</v>
      </c>
      <c r="G52">
        <v>140.01</v>
      </c>
      <c r="H52" s="1"/>
      <c r="I52" s="2" t="s">
        <v>35</v>
      </c>
      <c r="J52" s="2">
        <v>2021</v>
      </c>
      <c r="K52" s="2">
        <v>0.56999999999999995</v>
      </c>
      <c r="L52">
        <f>381.8*10</f>
        <v>3818</v>
      </c>
      <c r="M52" s="4">
        <f>L52/K52</f>
        <v>6698.2456140350887</v>
      </c>
      <c r="N52" s="5" t="s">
        <v>38</v>
      </c>
    </row>
    <row r="53" spans="1:14" x14ac:dyDescent="0.25">
      <c r="C53">
        <v>2025</v>
      </c>
      <c r="D53" t="s">
        <v>33</v>
      </c>
      <c r="E53" t="s">
        <v>34</v>
      </c>
      <c r="F53">
        <v>36</v>
      </c>
      <c r="G53">
        <v>140.01</v>
      </c>
      <c r="H53" s="1"/>
      <c r="I53" t="s">
        <v>36</v>
      </c>
      <c r="J53" s="2">
        <v>2021</v>
      </c>
      <c r="K53" s="2">
        <v>0.56000000000000005</v>
      </c>
      <c r="L53">
        <f>333.3*10</f>
        <v>3333</v>
      </c>
      <c r="M53" s="4">
        <f t="shared" ref="M53:M57" si="0">L53/K53</f>
        <v>5951.7857142857138</v>
      </c>
      <c r="N53" s="5" t="s">
        <v>38</v>
      </c>
    </row>
    <row r="54" spans="1:14" x14ac:dyDescent="0.25">
      <c r="C54">
        <v>2025</v>
      </c>
      <c r="D54" t="s">
        <v>33</v>
      </c>
      <c r="E54" t="s">
        <v>34</v>
      </c>
      <c r="F54">
        <v>36</v>
      </c>
      <c r="G54">
        <v>140.01</v>
      </c>
      <c r="H54" s="1"/>
      <c r="I54" t="s">
        <v>37</v>
      </c>
      <c r="J54" s="2">
        <v>2021</v>
      </c>
      <c r="K54" s="2">
        <v>0.56999999999999995</v>
      </c>
      <c r="L54">
        <f>425.9*10</f>
        <v>4259</v>
      </c>
      <c r="M54" s="4">
        <f t="shared" si="0"/>
        <v>7471.9298245614045</v>
      </c>
      <c r="N54" s="5" t="s">
        <v>38</v>
      </c>
    </row>
    <row r="55" spans="1:14" x14ac:dyDescent="0.25">
      <c r="C55">
        <v>2025</v>
      </c>
      <c r="D55" t="s">
        <v>33</v>
      </c>
      <c r="E55" t="s">
        <v>34</v>
      </c>
      <c r="F55">
        <v>36</v>
      </c>
      <c r="G55">
        <v>140.01</v>
      </c>
      <c r="H55" s="1"/>
      <c r="I55" s="2" t="s">
        <v>35</v>
      </c>
      <c r="J55" s="2">
        <v>2023</v>
      </c>
      <c r="K55" s="2">
        <v>0.46</v>
      </c>
      <c r="L55">
        <f>385.4*10</f>
        <v>3854</v>
      </c>
      <c r="M55" s="4">
        <f t="shared" si="0"/>
        <v>8378.2608695652161</v>
      </c>
      <c r="N55" s="5" t="s">
        <v>38</v>
      </c>
    </row>
    <row r="56" spans="1:14" x14ac:dyDescent="0.25">
      <c r="C56">
        <v>2025</v>
      </c>
      <c r="D56" t="s">
        <v>33</v>
      </c>
      <c r="E56" t="s">
        <v>34</v>
      </c>
      <c r="F56">
        <v>36</v>
      </c>
      <c r="G56">
        <v>140.01</v>
      </c>
      <c r="H56" s="1"/>
      <c r="I56" t="s">
        <v>36</v>
      </c>
      <c r="J56" s="2">
        <v>2023</v>
      </c>
      <c r="K56" s="2">
        <v>0.47</v>
      </c>
      <c r="L56">
        <f>313.5*10</f>
        <v>3135</v>
      </c>
      <c r="M56" s="4">
        <f t="shared" si="0"/>
        <v>6670.2127659574471</v>
      </c>
      <c r="N56" s="5" t="s">
        <v>38</v>
      </c>
    </row>
    <row r="57" spans="1:14" x14ac:dyDescent="0.25">
      <c r="C57">
        <v>2025</v>
      </c>
      <c r="D57" t="s">
        <v>33</v>
      </c>
      <c r="E57" t="s">
        <v>34</v>
      </c>
      <c r="F57">
        <v>36</v>
      </c>
      <c r="G57">
        <v>140.01</v>
      </c>
      <c r="H57" s="1"/>
      <c r="I57" t="s">
        <v>37</v>
      </c>
      <c r="J57" s="2">
        <v>2023</v>
      </c>
      <c r="K57" s="2">
        <v>0.33</v>
      </c>
      <c r="L57">
        <f>245.7*10</f>
        <v>2457</v>
      </c>
      <c r="M57" s="4">
        <f t="shared" si="0"/>
        <v>7445.454545454545</v>
      </c>
      <c r="N57" s="5" t="s">
        <v>38</v>
      </c>
    </row>
    <row r="58" spans="1:14" x14ac:dyDescent="0.25">
      <c r="H58" s="1"/>
    </row>
    <row r="59" spans="1:14" x14ac:dyDescent="0.25">
      <c r="H59" s="1"/>
    </row>
    <row r="60" spans="1:14" x14ac:dyDescent="0.25">
      <c r="H60" s="1"/>
    </row>
    <row r="61" spans="1:14" x14ac:dyDescent="0.25">
      <c r="H61" s="1"/>
    </row>
    <row r="62" spans="1:14" x14ac:dyDescent="0.25">
      <c r="H62" s="1"/>
    </row>
    <row r="63" spans="1:14" x14ac:dyDescent="0.25">
      <c r="H63" s="1"/>
    </row>
    <row r="64" spans="1:14" x14ac:dyDescent="0.25">
      <c r="H64" s="1"/>
    </row>
    <row r="65" spans="8:8" x14ac:dyDescent="0.25">
      <c r="H65" s="1"/>
    </row>
    <row r="66" spans="8:8" x14ac:dyDescent="0.25">
      <c r="H66" s="1"/>
    </row>
    <row r="67" spans="8:8" x14ac:dyDescent="0.25">
      <c r="H67" s="1"/>
    </row>
    <row r="68" spans="8:8" x14ac:dyDescent="0.25">
      <c r="H68" s="1"/>
    </row>
    <row r="69" spans="8:8" x14ac:dyDescent="0.25">
      <c r="H69" s="1"/>
    </row>
    <row r="70" spans="8:8" x14ac:dyDescent="0.25">
      <c r="H70" s="1"/>
    </row>
    <row r="71" spans="8:8" x14ac:dyDescent="0.25">
      <c r="H71" s="1"/>
    </row>
    <row r="72" spans="8:8" x14ac:dyDescent="0.25">
      <c r="H72" s="1"/>
    </row>
    <row r="73" spans="8:8" x14ac:dyDescent="0.25">
      <c r="H73" s="1"/>
    </row>
  </sheetData>
  <phoneticPr fontId="1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CC8D8-C090-44E6-85DA-17A8AD29E4F5}">
  <dimension ref="V41:Z43"/>
  <sheetViews>
    <sheetView zoomScale="70" zoomScaleNormal="70" workbookViewId="0">
      <selection activeCell="AL26" sqref="AL26"/>
    </sheetView>
  </sheetViews>
  <sheetFormatPr defaultRowHeight="15" x14ac:dyDescent="0.25"/>
  <sheetData>
    <row r="41" spans="22:26" x14ac:dyDescent="0.25">
      <c r="V41" t="s">
        <v>21</v>
      </c>
      <c r="W41" t="s">
        <v>39</v>
      </c>
      <c r="X41" t="s">
        <v>40</v>
      </c>
      <c r="Y41" t="s">
        <v>41</v>
      </c>
      <c r="Z41" t="s">
        <v>42</v>
      </c>
    </row>
    <row r="42" spans="22:26" x14ac:dyDescent="0.25">
      <c r="V42">
        <v>0</v>
      </c>
      <c r="W42">
        <f>V42*0.5</f>
        <v>0</v>
      </c>
      <c r="X42">
        <f>V42*0.3</f>
        <v>0</v>
      </c>
      <c r="Y42">
        <f>V42*0.1</f>
        <v>0</v>
      </c>
      <c r="Z42">
        <f>V42*0.7</f>
        <v>0</v>
      </c>
    </row>
    <row r="43" spans="22:26" x14ac:dyDescent="0.25">
      <c r="V43">
        <v>12000</v>
      </c>
      <c r="W43">
        <f>V43*0.5</f>
        <v>6000</v>
      </c>
      <c r="X43">
        <f>V43*0.3</f>
        <v>3600</v>
      </c>
      <c r="Y43">
        <f>V43*0.1</f>
        <v>1200</v>
      </c>
      <c r="Z43">
        <f>V43*0.7</f>
        <v>8400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F. Elli</dc:creator>
  <cp:lastModifiedBy>Maral Etesami</cp:lastModifiedBy>
  <dcterms:created xsi:type="dcterms:W3CDTF">2025-02-21T15:39:40Z</dcterms:created>
  <dcterms:modified xsi:type="dcterms:W3CDTF">2025-11-04T20:20:11Z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2025-04-10T19:07:55Z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b2facfc6-9794-43d3-9f41-cc2f1a5c06cf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